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🏁 Jalons" sheetId="1" state="visible" r:id="rId1"/>
    <sheet xmlns:r="http://schemas.openxmlformats.org/officeDocument/2006/relationships" name="📊 Synthèse" sheetId="2" state="visible" r:id="rId2"/>
    <sheet xmlns:r="http://schemas.openxmlformats.org/officeDocument/2006/relationships" name="📖 Tu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64748b"/>
      <sz val="10"/>
    </font>
    <font>
      <name val="Arial"/>
      <b val="1"/>
      <color rgb="00FFFFFF"/>
      <sz val="10"/>
    </font>
    <font>
      <name val="Arial"/>
      <color rgb="001e3a5f"/>
      <sz val="10"/>
    </font>
    <font>
      <name val="Arial"/>
      <b val="1"/>
      <color rgb="001e3a5f"/>
      <sz val="10"/>
    </font>
    <font>
      <name val="Arial"/>
      <b val="1"/>
      <color rgb="00111827"/>
      <sz val="10"/>
    </font>
    <font>
      <name val="Arial"/>
      <color rgb="00374151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color rgb="00FFFFFF"/>
      <sz val="14"/>
    </font>
    <font>
      <name val="Arial"/>
      <b val="1"/>
      <color rgb="00111827"/>
      <sz val="11"/>
    </font>
    <font>
      <name val="Arial"/>
      <b val="1"/>
      <color rgb="001e3a5f"/>
      <sz val="12"/>
    </font>
    <font>
      <name val="Arial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E0F2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1" fontId="9" fillId="3" borderId="1" applyAlignment="1" pivotButton="0" quotePrefix="0" xfId="0">
      <alignment horizontal="center"/>
    </xf>
    <xf numFmtId="0" fontId="1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4" fontId="9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1" fontId="9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1" fillId="2" borderId="0" applyAlignment="1" pivotButton="0" quotePrefix="0" xfId="0">
      <alignment horizontal="center" vertical="center"/>
    </xf>
    <xf numFmtId="0" fontId="12" fillId="5" borderId="1" applyAlignment="1" pivotButton="0" quotePrefix="0" xfId="0">
      <alignment horizontal="left" vertical="center"/>
    </xf>
    <xf numFmtId="0" fontId="13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  <col width="18" customWidth="1" min="4" max="4"/>
    <col width="14" customWidth="1" min="5" max="5"/>
    <col width="14" customWidth="1" min="6" max="6"/>
    <col width="18" customWidth="1" min="7" max="7"/>
    <col width="28" customWidth="1" min="8" max="8"/>
    <col width="10" customWidth="1" min="9" max="9"/>
    <col width="14" customWidth="1" min="10" max="10"/>
    <col width="28" customWidth="1" min="11" max="11"/>
  </cols>
  <sheetData>
    <row r="1" ht="36" customHeight="1">
      <c r="A1" s="1" t="inlineStr">
        <is>
          <t>🏁 SUIVI DES JALONS — PROJET</t>
        </is>
      </c>
    </row>
    <row r="2" ht="20" customHeight="1">
      <c r="A2" s="2" t="inlineStr">
        <is>
          <t>Saisissez les jalons du projet. Les colonnes Retard et Statut se calculent automatiquement.</t>
        </is>
      </c>
    </row>
    <row r="3" ht="6" customHeight="1"/>
    <row r="4" ht="32" customHeight="1">
      <c r="A4" s="3" t="inlineStr">
        <is>
          <t>N°</t>
        </is>
      </c>
      <c r="B4" s="3" t="inlineStr">
        <is>
          <t>Code</t>
        </is>
      </c>
      <c r="C4" s="3" t="inlineStr">
        <is>
          <t>Nom du Jalon</t>
        </is>
      </c>
      <c r="D4" s="3" t="inlineStr">
        <is>
          <t>Phase</t>
        </is>
      </c>
      <c r="E4" s="3" t="inlineStr">
        <is>
          <t>Date Planifiée</t>
        </is>
      </c>
      <c r="F4" s="3" t="inlineStr">
        <is>
          <t>Date Réelle</t>
        </is>
      </c>
      <c r="G4" s="3" t="inlineStr">
        <is>
          <t>Responsable</t>
        </is>
      </c>
      <c r="H4" s="3" t="inlineStr">
        <is>
          <t>Livrables</t>
        </is>
      </c>
      <c r="I4" s="3" t="inlineStr">
        <is>
          <t>Retard (j)</t>
        </is>
      </c>
      <c r="J4" s="3" t="inlineStr">
        <is>
          <t>Statut</t>
        </is>
      </c>
      <c r="K4" s="3" t="inlineStr">
        <is>
          <t>Observations</t>
        </is>
      </c>
    </row>
    <row r="5" ht="22" customHeight="1">
      <c r="A5" s="4" t="n">
        <v>1</v>
      </c>
      <c r="B5" s="5" t="inlineStr">
        <is>
          <t>M1</t>
        </is>
      </c>
      <c r="C5" s="6" t="inlineStr">
        <is>
          <t>Kick-off &amp; Cadrage</t>
        </is>
      </c>
      <c r="D5" s="7" t="inlineStr">
        <is>
          <t>Phase 1 - Init</t>
        </is>
      </c>
      <c r="E5" s="8" t="inlineStr">
        <is>
          <t>2026-01-15</t>
        </is>
      </c>
      <c r="F5" s="9" t="inlineStr">
        <is>
          <t>2026-01-15</t>
        </is>
      </c>
      <c r="G5" s="7" t="inlineStr">
        <is>
          <t>Chef de Projet</t>
        </is>
      </c>
      <c r="H5" s="10" t="inlineStr">
        <is>
          <t>Charte projet signée</t>
        </is>
      </c>
      <c r="I5" s="11">
        <f>IF(F5&lt;&gt;"",F5-E5,IF(TODAY()&gt;E5,TODAY()-E5,0))</f>
        <v/>
      </c>
      <c r="J5" s="12">
        <f>IF(F5&lt;&gt;"","✅ Atteint",IF(TODAY()&gt;E5,"🔴 En retard",IF(TODAY()=E5,"🟡 Aujourd'hui","🔵 À venir")))</f>
        <v/>
      </c>
      <c r="K5" s="10" t="inlineStr"/>
    </row>
    <row r="6" ht="22" customHeight="1">
      <c r="A6" s="13" t="n">
        <v>2</v>
      </c>
      <c r="B6" s="14" t="inlineStr">
        <is>
          <t>M2</t>
        </is>
      </c>
      <c r="C6" s="15" t="inlineStr">
        <is>
          <t>Validation Architecture</t>
        </is>
      </c>
      <c r="D6" s="16" t="inlineStr">
        <is>
          <t>Phase 2 - Conception</t>
        </is>
      </c>
      <c r="E6" s="17" t="inlineStr">
        <is>
          <t>2026-02-28</t>
        </is>
      </c>
      <c r="F6" s="18" t="n"/>
      <c r="G6" s="16" t="inlineStr">
        <is>
          <t>Architecte</t>
        </is>
      </c>
      <c r="H6" s="19" t="inlineStr">
        <is>
          <t>DAT validé</t>
        </is>
      </c>
      <c r="I6" s="20">
        <f>IF(F6&lt;&gt;"",F6-E6,IF(TODAY()&gt;E6,TODAY()-E6,0))</f>
        <v/>
      </c>
      <c r="J6" s="21">
        <f>IF(F6&lt;&gt;"","✅ Atteint",IF(TODAY()&gt;E6,"🔴 En retard",IF(TODAY()=E6,"🟡 Aujourd'hui","🔵 À venir")))</f>
        <v/>
      </c>
      <c r="K6" s="19" t="inlineStr"/>
    </row>
    <row r="7" ht="22" customHeight="1">
      <c r="A7" s="4" t="n">
        <v>3</v>
      </c>
      <c r="B7" s="5" t="inlineStr">
        <is>
          <t>M3</t>
        </is>
      </c>
      <c r="C7" s="6" t="inlineStr">
        <is>
          <t>Livraison Dev Backend</t>
        </is>
      </c>
      <c r="D7" s="7" t="inlineStr">
        <is>
          <t>Phase 3 - Dev</t>
        </is>
      </c>
      <c r="E7" s="8" t="inlineStr">
        <is>
          <t>2026-04-15</t>
        </is>
      </c>
      <c r="F7" s="9" t="n"/>
      <c r="G7" s="7" t="inlineStr">
        <is>
          <t>Lead Dev</t>
        </is>
      </c>
      <c r="H7" s="10" t="inlineStr">
        <is>
          <t>Code source testé</t>
        </is>
      </c>
      <c r="I7" s="11">
        <f>IF(F7&lt;&gt;"",F7-E7,IF(TODAY()&gt;E7,TODAY()-E7,0))</f>
        <v/>
      </c>
      <c r="J7" s="12">
        <f>IF(F7&lt;&gt;"","✅ Atteint",IF(TODAY()&gt;E7,"🔴 En retard",IF(TODAY()=E7,"🟡 Aujourd'hui","🔵 À venir")))</f>
        <v/>
      </c>
      <c r="K7" s="10" t="inlineStr"/>
    </row>
    <row r="8" ht="22" customHeight="1">
      <c r="A8" s="13" t="n">
        <v>4</v>
      </c>
      <c r="B8" s="14" t="inlineStr">
        <is>
          <t>M4</t>
        </is>
      </c>
      <c r="C8" s="15" t="inlineStr">
        <is>
          <t>Recette Utilisateurs</t>
        </is>
      </c>
      <c r="D8" s="16" t="inlineStr">
        <is>
          <t>Phase 4 - Tests</t>
        </is>
      </c>
      <c r="E8" s="17" t="inlineStr">
        <is>
          <t>2026-05-31</t>
        </is>
      </c>
      <c r="F8" s="18" t="n"/>
      <c r="G8" s="16" t="inlineStr">
        <is>
          <t>Chef de Projet</t>
        </is>
      </c>
      <c r="H8" s="19" t="inlineStr">
        <is>
          <t>PV recette signé</t>
        </is>
      </c>
      <c r="I8" s="20">
        <f>IF(F8&lt;&gt;"",F8-E8,IF(TODAY()&gt;E8,TODAY()-E8,0))</f>
        <v/>
      </c>
      <c r="J8" s="21">
        <f>IF(F8&lt;&gt;"","✅ Atteint",IF(TODAY()&gt;E8,"🔴 En retard",IF(TODAY()=E8,"🟡 Aujourd'hui","🔵 À venir")))</f>
        <v/>
      </c>
      <c r="K8" s="19" t="inlineStr"/>
    </row>
    <row r="9" ht="22" customHeight="1">
      <c r="A9" s="4" t="n">
        <v>5</v>
      </c>
      <c r="B9" s="5" t="inlineStr">
        <is>
          <t>M5</t>
        </is>
      </c>
      <c r="C9" s="6" t="inlineStr">
        <is>
          <t>Go-Live Production</t>
        </is>
      </c>
      <c r="D9" s="7" t="inlineStr">
        <is>
          <t>Phase 5 - Déploiement</t>
        </is>
      </c>
      <c r="E9" s="8" t="inlineStr">
        <is>
          <t>2026-06-30</t>
        </is>
      </c>
      <c r="F9" s="9" t="n"/>
      <c r="G9" s="7" t="inlineStr">
        <is>
          <t>Chef de Projet</t>
        </is>
      </c>
      <c r="H9" s="10" t="inlineStr">
        <is>
          <t>Système en production</t>
        </is>
      </c>
      <c r="I9" s="11">
        <f>IF(F9&lt;&gt;"",F9-E9,IF(TODAY()&gt;E9,TODAY()-E9,0))</f>
        <v/>
      </c>
      <c r="J9" s="12">
        <f>IF(F9&lt;&gt;"","✅ Atteint",IF(TODAY()&gt;E9,"🔴 En retard",IF(TODAY()=E9,"🟡 Aujourd'hui","🔵 À venir")))</f>
        <v/>
      </c>
      <c r="K9" s="10" t="inlineStr"/>
    </row>
    <row r="10" ht="22" customHeight="1">
      <c r="A10" s="13" t="n">
        <v>6</v>
      </c>
      <c r="B10" s="14" t="inlineStr">
        <is>
          <t>M6</t>
        </is>
      </c>
      <c r="C10" s="15" t="inlineStr">
        <is>
          <t>Clôture &amp; RETEX</t>
        </is>
      </c>
      <c r="D10" s="16" t="inlineStr">
        <is>
          <t>Phase 6 - Clôture</t>
        </is>
      </c>
      <c r="E10" s="17" t="inlineStr">
        <is>
          <t>2026-07-15</t>
        </is>
      </c>
      <c r="F10" s="18" t="n"/>
      <c r="G10" s="16" t="inlineStr">
        <is>
          <t>Chef de Projet</t>
        </is>
      </c>
      <c r="H10" s="19" t="inlineStr">
        <is>
          <t>RETEX finalisé</t>
        </is>
      </c>
      <c r="I10" s="20">
        <f>IF(F10&lt;&gt;"",F10-E10,IF(TODAY()&gt;E10,TODAY()-E10,0))</f>
        <v/>
      </c>
      <c r="J10" s="21">
        <f>IF(F10&lt;&gt;"","✅ Atteint",IF(TODAY()&gt;E10,"🔴 En retard",IF(TODAY()=E10,"🟡 Aujourd'hui","🔵 À venir")))</f>
        <v/>
      </c>
      <c r="K10" s="19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 ht="30" customHeight="1">
      <c r="A1" s="22" t="inlineStr">
        <is>
          <t>📊 SYNTHÈSE DES JALONS</t>
        </is>
      </c>
    </row>
    <row r="3" ht="24" customHeight="1">
      <c r="A3" s="23" t="inlineStr">
        <is>
          <t>Total jalons</t>
        </is>
      </c>
      <c r="B3" s="24">
        <f>'🏁 Jalons'!A10</f>
        <v/>
      </c>
    </row>
    <row r="4" ht="24" customHeight="1">
      <c r="A4" s="23" t="inlineStr">
        <is>
          <t>✅ Atteints</t>
        </is>
      </c>
      <c r="B4" s="24">
        <f>COUNTIF('🏁 Jalons'!J5:J10,"*Atteint*")</f>
        <v/>
      </c>
    </row>
    <row r="5" ht="24" customHeight="1">
      <c r="A5" s="23" t="inlineStr">
        <is>
          <t>🔴 En retard</t>
        </is>
      </c>
      <c r="B5" s="24">
        <f>COUNTIF('🏁 Jalons'!J5:J10,"*retard*")</f>
        <v/>
      </c>
    </row>
    <row r="6" ht="24" customHeight="1">
      <c r="A6" s="23" t="inlineStr">
        <is>
          <t>🔵 À venir</t>
        </is>
      </c>
      <c r="B6" s="24">
        <f>COUNTIF('🏁 Jalons'!J5:J10,"*venir*")</f>
        <v/>
      </c>
    </row>
    <row r="7" ht="24" customHeight="1">
      <c r="A7" s="23" t="inlineStr">
        <is>
          <t>Retard moyen (j)</t>
        </is>
      </c>
      <c r="B7" s="24">
        <f>AVERAGEIF('🏁 Jalons'!I5:I10,"&gt;"&amp;0)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50" customWidth="1" min="3" max="3"/>
  </cols>
  <sheetData>
    <row r="1" ht="30" customHeight="1">
      <c r="A1" s="22" t="inlineStr">
        <is>
          <t>📖 GUIDE D'UTILISATION — Suivi Jalons Visuel</t>
        </is>
      </c>
    </row>
    <row r="3" ht="22" customHeight="1">
      <c r="A3" s="25" t="inlineStr">
        <is>
          <t>1</t>
        </is>
      </c>
      <c r="B3" s="26" t="inlineStr">
        <is>
          <t>Colonnes en BLEU</t>
        </is>
      </c>
      <c r="C3" s="27" t="inlineStr">
        <is>
          <t>Saisissez vos données : Code, Nom, Phase, Date Planifiée, Date Réelle, Responsable, Livrables</t>
        </is>
      </c>
    </row>
    <row r="4" ht="22" customHeight="1">
      <c r="A4" s="25" t="inlineStr">
        <is>
          <t>2</t>
        </is>
      </c>
      <c r="B4" s="26" t="inlineStr">
        <is>
          <t>Colonne Retard</t>
        </is>
      </c>
      <c r="C4" s="27" t="inlineStr">
        <is>
          <t>Calculée automatiquement. Positif = en retard. Négatif = en avance.</t>
        </is>
      </c>
    </row>
    <row r="5" ht="22" customHeight="1">
      <c r="A5" s="25" t="inlineStr">
        <is>
          <t>3</t>
        </is>
      </c>
      <c r="B5" s="26" t="inlineStr">
        <is>
          <t>Colonne Statut</t>
        </is>
      </c>
      <c r="C5" s="27" t="inlineStr">
        <is>
          <t>Calculée automatiquement selon la date du jour et la date réelle.</t>
        </is>
      </c>
    </row>
    <row r="6" ht="22" customHeight="1">
      <c r="A6" s="25" t="inlineStr">
        <is>
          <t>4</t>
        </is>
      </c>
      <c r="B6" s="26" t="inlineStr">
        <is>
          <t>✅ Atteint</t>
        </is>
      </c>
      <c r="C6" s="27" t="inlineStr">
        <is>
          <t>La date réelle est renseignée.</t>
        </is>
      </c>
    </row>
    <row r="7" ht="22" customHeight="1">
      <c r="A7" s="25" t="inlineStr">
        <is>
          <t>5</t>
        </is>
      </c>
      <c r="B7" s="26" t="inlineStr">
        <is>
          <t>🔴 En retard</t>
        </is>
      </c>
      <c r="C7" s="27" t="inlineStr">
        <is>
          <t>La date planifiée est dépassée et pas de date réelle.</t>
        </is>
      </c>
    </row>
    <row r="8" ht="22" customHeight="1">
      <c r="A8" s="25" t="inlineStr">
        <is>
          <t>6</t>
        </is>
      </c>
      <c r="B8" s="26" t="inlineStr">
        <is>
          <t>🔵 À venir</t>
        </is>
      </c>
      <c r="C8" s="27" t="inlineStr">
        <is>
          <t>La date planifiée n'est pas encore atteinte.</t>
        </is>
      </c>
    </row>
    <row r="9" ht="22" customHeight="1">
      <c r="A9" s="25" t="inlineStr">
        <is>
          <t>7</t>
        </is>
      </c>
      <c r="B9" s="26" t="inlineStr">
        <is>
          <t>Onglet Synthèse</t>
        </is>
      </c>
      <c r="C9" s="27" t="inlineStr">
        <is>
          <t>Vue consolidée des jalons par statut, calculée automatiquement.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2026-05-19T19:17:39Z</dcterms:created>
  <dcterms:modified xmlns:dcterms="http://purl.org/dc/terms/" xmlns:xsi="http://www.w3.org/2001/XMLSchema-instance" xsi:type="dcterms:W3CDTF">2026-05-19T19:17:39Z</dcterms:modified>
</cp:coreProperties>
</file>