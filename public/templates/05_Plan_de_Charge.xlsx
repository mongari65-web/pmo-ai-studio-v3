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👤 Ressources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📖 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4748b"/>
      <sz val="10"/>
    </font>
    <font>
      <name val="Arial"/>
      <b val="1"/>
      <color rgb="00FFFFFF"/>
      <sz val="9"/>
    </font>
    <font>
      <name val="Arial"/>
      <b val="1"/>
      <color rgb="00064e3b"/>
      <sz val="10"/>
    </font>
    <font>
      <name val="Arial"/>
      <color rgb="00374151"/>
      <sz val="9"/>
    </font>
    <font>
      <name val="Arial"/>
      <color rgb="000000FF"/>
      <sz val="9"/>
    </font>
    <font>
      <name val="Arial"/>
      <b val="1"/>
      <color rgb="00064e3b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FFFFFF"/>
      <sz val="9"/>
    </font>
    <font>
      <name val="Arial"/>
      <b val="1"/>
      <color rgb="00FFFFFF"/>
      <sz val="14"/>
    </font>
    <font>
      <name val="Arial"/>
      <b val="1"/>
      <color rgb="00064e3b"/>
      <sz val="11"/>
    </font>
    <font>
      <name val="Arial"/>
      <b val="1"/>
      <sz val="11"/>
    </font>
    <font>
      <name val="Arial"/>
      <color rgb="00FFFFFF"/>
      <sz val="10"/>
    </font>
    <font>
      <name val="Arial"/>
      <b val="1"/>
      <color rgb="00111827"/>
      <sz val="10"/>
    </font>
    <font>
      <name val="Arial"/>
      <color rgb="00374151"/>
      <sz val="10"/>
    </font>
  </fonts>
  <fills count="7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F0FDF4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9" fontId="8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9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11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/>
    </xf>
    <xf numFmtId="9" fontId="13" fillId="4" borderId="1" applyAlignment="1" pivotButton="0" quotePrefix="0" xfId="0">
      <alignment horizontal="center"/>
    </xf>
    <xf numFmtId="0" fontId="14" fillId="2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  <col width="9" customWidth="1" min="18" max="18"/>
  </cols>
  <sheetData>
    <row r="1" ht="36" customHeight="1">
      <c r="A1" s="1" t="inlineStr">
        <is>
          <t>👤 PLAN DE CHARGE RESSOURCES — PROJET</t>
        </is>
      </c>
    </row>
    <row r="2" ht="20" customHeight="1">
      <c r="A2" s="2" t="inlineStr">
        <is>
          <t>Saisir le nombre de jours par ressource et par semaine (cellules en BLEU). Capacité max par défaut: 5j/semaine.</t>
        </is>
      </c>
    </row>
    <row r="3" ht="28" customHeight="1">
      <c r="A3" s="3" t="inlineStr">
        <is>
          <t>Ressource</t>
        </is>
      </c>
      <c r="B3" s="3" t="inlineStr">
        <is>
          <t>Rôle</t>
        </is>
      </c>
      <c r="C3" s="3" t="inlineStr">
        <is>
          <t>Projet</t>
        </is>
      </c>
      <c r="D3" s="3" t="inlineStr">
        <is>
          <t>S01</t>
        </is>
      </c>
      <c r="E3" s="3" t="inlineStr">
        <is>
          <t>S02</t>
        </is>
      </c>
      <c r="F3" s="3" t="inlineStr">
        <is>
          <t>S03</t>
        </is>
      </c>
      <c r="G3" s="3" t="inlineStr">
        <is>
          <t>S04</t>
        </is>
      </c>
      <c r="H3" s="3" t="inlineStr">
        <is>
          <t>S05</t>
        </is>
      </c>
      <c r="I3" s="3" t="inlineStr">
        <is>
          <t>S06</t>
        </is>
      </c>
      <c r="J3" s="3" t="inlineStr">
        <is>
          <t>S07</t>
        </is>
      </c>
      <c r="K3" s="3" t="inlineStr">
        <is>
          <t>S08</t>
        </is>
      </c>
      <c r="L3" s="3" t="inlineStr">
        <is>
          <t>S09</t>
        </is>
      </c>
      <c r="M3" s="3" t="inlineStr">
        <is>
          <t>S10</t>
        </is>
      </c>
      <c r="N3" s="3" t="inlineStr">
        <is>
          <t>S11</t>
        </is>
      </c>
      <c r="O3" s="3" t="inlineStr">
        <is>
          <t>S12</t>
        </is>
      </c>
      <c r="P3" s="3" t="inlineStr">
        <is>
          <t>S13</t>
        </is>
      </c>
      <c r="Q3" s="3" t="inlineStr">
        <is>
          <t>Total j</t>
        </is>
      </c>
      <c r="R3" s="3" t="inlineStr">
        <is>
          <t>Taux occ.</t>
        </is>
      </c>
    </row>
    <row r="4" ht="20" customHeight="1">
      <c r="A4" s="4" t="inlineStr">
        <is>
          <t>Abdelhafid T.</t>
        </is>
      </c>
      <c r="B4" s="5" t="inlineStr">
        <is>
          <t>Chef de Projet</t>
        </is>
      </c>
      <c r="C4" s="5" t="inlineStr">
        <is>
          <t>NovaPay</t>
        </is>
      </c>
      <c r="D4" s="6" t="n">
        <v>5</v>
      </c>
      <c r="E4" s="6" t="n">
        <v>5</v>
      </c>
      <c r="F4" s="6" t="n">
        <v>5</v>
      </c>
      <c r="G4" s="6" t="n">
        <v>5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5</v>
      </c>
      <c r="M4" s="6" t="n">
        <v>3</v>
      </c>
      <c r="N4" s="6" t="n">
        <v>3</v>
      </c>
      <c r="O4" s="6" t="n">
        <v>2</v>
      </c>
      <c r="P4" s="6" t="n">
        <v>2</v>
      </c>
      <c r="Q4" s="7">
        <f>SUM(D4:P4)</f>
        <v/>
      </c>
      <c r="R4" s="8">
        <f>Q4/(13*5)</f>
        <v/>
      </c>
    </row>
    <row r="5" ht="20" customHeight="1">
      <c r="A5" s="9" t="inlineStr">
        <is>
          <t>Marie D.</t>
        </is>
      </c>
      <c r="B5" s="10" t="inlineStr">
        <is>
          <t>Lead Dev Backend</t>
        </is>
      </c>
      <c r="C5" s="10" t="inlineStr">
        <is>
          <t>NovaPay</t>
        </is>
      </c>
      <c r="D5" s="11" t="n">
        <v>5</v>
      </c>
      <c r="E5" s="11" t="n">
        <v>5</v>
      </c>
      <c r="F5" s="11" t="n">
        <v>5</v>
      </c>
      <c r="G5" s="11" t="n">
        <v>5</v>
      </c>
      <c r="H5" s="11" t="n">
        <v>5</v>
      </c>
      <c r="I5" s="11" t="n">
        <v>5</v>
      </c>
      <c r="J5" s="11" t="n">
        <v>4</v>
      </c>
      <c r="K5" s="11" t="n">
        <v>4</v>
      </c>
      <c r="L5" s="11" t="n">
        <v>5</v>
      </c>
      <c r="M5" s="11" t="n">
        <v>5</v>
      </c>
      <c r="N5" s="11" t="n">
        <v>5</v>
      </c>
      <c r="O5" s="11" t="n">
        <v>3</v>
      </c>
      <c r="P5" s="11" t="n">
        <v>0</v>
      </c>
      <c r="Q5" s="7">
        <f>SUM(D5:P5)</f>
        <v/>
      </c>
      <c r="R5" s="8">
        <f>Q5/(13*5)</f>
        <v/>
      </c>
    </row>
    <row r="6" ht="20" customHeight="1">
      <c r="A6" s="4" t="inlineStr">
        <is>
          <t>Thomas R.</t>
        </is>
      </c>
      <c r="B6" s="5" t="inlineStr">
        <is>
          <t>Dev Frontend</t>
        </is>
      </c>
      <c r="C6" s="5" t="inlineStr">
        <is>
          <t>NovaPay</t>
        </is>
      </c>
      <c r="D6" s="6" t="n">
        <v>3</v>
      </c>
      <c r="E6" s="6" t="n">
        <v>3</v>
      </c>
      <c r="F6" s="6" t="n">
        <v>4</v>
      </c>
      <c r="G6" s="6" t="n">
        <v>5</v>
      </c>
      <c r="H6" s="6" t="n">
        <v>5</v>
      </c>
      <c r="I6" s="6" t="n">
        <v>5</v>
      </c>
      <c r="J6" s="6" t="n">
        <v>5</v>
      </c>
      <c r="K6" s="6" t="n">
        <v>5</v>
      </c>
      <c r="L6" s="6" t="n">
        <v>4</v>
      </c>
      <c r="M6" s="6" t="n">
        <v>3</v>
      </c>
      <c r="N6" s="6" t="n">
        <v>2</v>
      </c>
      <c r="O6" s="6" t="n">
        <v>2</v>
      </c>
      <c r="P6" s="6" t="n">
        <v>0</v>
      </c>
      <c r="Q6" s="7">
        <f>SUM(D6:P6)</f>
        <v/>
      </c>
      <c r="R6" s="8">
        <f>Q6/(13*5)</f>
        <v/>
      </c>
    </row>
    <row r="7" ht="20" customHeight="1">
      <c r="A7" s="9" t="inlineStr">
        <is>
          <t>Sophie M.</t>
        </is>
      </c>
      <c r="B7" s="10" t="inlineStr">
        <is>
          <t>Data Scientist</t>
        </is>
      </c>
      <c r="C7" s="10" t="inlineStr">
        <is>
          <t>NovaPay</t>
        </is>
      </c>
      <c r="D7" s="11" t="n">
        <v>2</v>
      </c>
      <c r="E7" s="11" t="n">
        <v>2</v>
      </c>
      <c r="F7" s="11" t="n">
        <v>3</v>
      </c>
      <c r="G7" s="11" t="n">
        <v>4</v>
      </c>
      <c r="H7" s="11" t="n">
        <v>5</v>
      </c>
      <c r="I7" s="11" t="n">
        <v>5</v>
      </c>
      <c r="J7" s="11" t="n">
        <v>4</v>
      </c>
      <c r="K7" s="11" t="n">
        <v>3</v>
      </c>
      <c r="L7" s="11" t="n">
        <v>2</v>
      </c>
      <c r="M7" s="11" t="n">
        <v>2</v>
      </c>
      <c r="N7" s="11" t="n">
        <v>1</v>
      </c>
      <c r="O7" s="11" t="n">
        <v>1</v>
      </c>
      <c r="P7" s="11" t="n">
        <v>0</v>
      </c>
      <c r="Q7" s="7">
        <f>SUM(D7:P7)</f>
        <v/>
      </c>
      <c r="R7" s="8">
        <f>Q7/(13*5)</f>
        <v/>
      </c>
    </row>
    <row r="8" ht="20" customHeight="1">
      <c r="A8" s="4" t="inlineStr">
        <is>
          <t>Pierre L.</t>
        </is>
      </c>
      <c r="B8" s="5" t="inlineStr">
        <is>
          <t>QA Lead</t>
        </is>
      </c>
      <c r="C8" s="5" t="inlineStr">
        <is>
          <t>NovaPay</t>
        </is>
      </c>
      <c r="D8" s="6" t="n">
        <v>1</v>
      </c>
      <c r="E8" s="6" t="n">
        <v>1</v>
      </c>
      <c r="F8" s="6" t="n">
        <v>2</v>
      </c>
      <c r="G8" s="6" t="n">
        <v>3</v>
      </c>
      <c r="H8" s="6" t="n">
        <v>4</v>
      </c>
      <c r="I8" s="6" t="n">
        <v>5</v>
      </c>
      <c r="J8" s="6" t="n">
        <v>5</v>
      </c>
      <c r="K8" s="6" t="n">
        <v>5</v>
      </c>
      <c r="L8" s="6" t="n">
        <v>4</v>
      </c>
      <c r="M8" s="6" t="n">
        <v>3</v>
      </c>
      <c r="N8" s="6" t="n">
        <v>2</v>
      </c>
      <c r="O8" s="6" t="n">
        <v>1</v>
      </c>
      <c r="P8" s="6" t="n">
        <v>0</v>
      </c>
      <c r="Q8" s="7">
        <f>SUM(D8:P8)</f>
        <v/>
      </c>
      <c r="R8" s="8">
        <f>Q8/(13*5)</f>
        <v/>
      </c>
    </row>
    <row r="9" ht="20" customHeight="1">
      <c r="A9" s="9" t="inlineStr">
        <is>
          <t>Camille B.</t>
        </is>
      </c>
      <c r="B9" s="10" t="inlineStr">
        <is>
          <t>UX Designer</t>
        </is>
      </c>
      <c r="C9" s="10" t="inlineStr">
        <is>
          <t>NovaPay</t>
        </is>
      </c>
      <c r="D9" s="11" t="n">
        <v>4</v>
      </c>
      <c r="E9" s="11" t="n">
        <v>4</v>
      </c>
      <c r="F9" s="11" t="n">
        <v>3</v>
      </c>
      <c r="G9" s="11" t="n">
        <v>2</v>
      </c>
      <c r="H9" s="11" t="n">
        <v>2</v>
      </c>
      <c r="I9" s="11" t="n">
        <v>2</v>
      </c>
      <c r="J9" s="11" t="n">
        <v>2</v>
      </c>
      <c r="K9" s="11" t="n">
        <v>1</v>
      </c>
      <c r="L9" s="11" t="n">
        <v>1</v>
      </c>
      <c r="M9" s="11" t="n">
        <v>1</v>
      </c>
      <c r="N9" s="11" t="n">
        <v>0</v>
      </c>
      <c r="O9" s="11" t="n">
        <v>0</v>
      </c>
      <c r="P9" s="11" t="n">
        <v>0</v>
      </c>
      <c r="Q9" s="7">
        <f>SUM(D9:P9)</f>
        <v/>
      </c>
      <c r="R9" s="8">
        <f>Q9/(13*5)</f>
        <v/>
      </c>
    </row>
    <row r="10" ht="22" customHeight="1">
      <c r="A10" s="12" t="inlineStr">
        <is>
          <t>TOTAL / Capacité</t>
        </is>
      </c>
      <c r="B10" s="13" t="inlineStr"/>
      <c r="C10" s="13" t="inlineStr"/>
      <c r="D10" s="14">
        <f>SUM(D4:D9)</f>
        <v/>
      </c>
      <c r="E10" s="14">
        <f>SUM(E4:E9)</f>
        <v/>
      </c>
      <c r="F10" s="14">
        <f>SUM(F4:F9)</f>
        <v/>
      </c>
      <c r="G10" s="14">
        <f>SUM(G4:G9)</f>
        <v/>
      </c>
      <c r="H10" s="14">
        <f>SUM(H4:H9)</f>
        <v/>
      </c>
      <c r="I10" s="14">
        <f>SUM(I4:I9)</f>
        <v/>
      </c>
      <c r="J10" s="14">
        <f>SUM(J4:J9)</f>
        <v/>
      </c>
      <c r="K10" s="14">
        <f>SUM(K4:K9)</f>
        <v/>
      </c>
      <c r="L10" s="14">
        <f>SUM(L4:L9)</f>
        <v/>
      </c>
      <c r="M10" s="14">
        <f>SUM(M4:M9)</f>
        <v/>
      </c>
      <c r="N10" s="14">
        <f>SUM(N4:N9)</f>
        <v/>
      </c>
      <c r="O10" s="14">
        <f>SUM(O4:O9)</f>
        <v/>
      </c>
      <c r="P10" s="14">
        <f>SUM(P4:P9)</f>
        <v/>
      </c>
      <c r="Q10" s="14">
        <f>SUM(Q4:Q9)</f>
        <v/>
      </c>
      <c r="R10" s="15" t="n"/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 ht="30" customHeight="1">
      <c r="A1" s="16" t="inlineStr">
        <is>
          <t>📊 DASHBOARD PLAN DE CHARGE</t>
        </is>
      </c>
    </row>
    <row r="3">
      <c r="A3" s="17" t="inlineStr">
        <is>
          <t>Ressource</t>
        </is>
      </c>
      <c r="B3" s="18" t="inlineStr">
        <is>
          <t>Total jours</t>
        </is>
      </c>
      <c r="C3" s="18" t="inlineStr">
        <is>
          <t>Taux occupation</t>
        </is>
      </c>
    </row>
    <row r="4" ht="22" customHeight="1">
      <c r="A4" s="4" t="inlineStr">
        <is>
          <t>Abdelhafid T.</t>
        </is>
      </c>
      <c r="B4" s="19">
        <f>'👤 Ressources'!Q4</f>
        <v/>
      </c>
      <c r="C4" s="20">
        <f>'👤 Ressources'!R4</f>
        <v/>
      </c>
    </row>
    <row r="5" ht="22" customHeight="1">
      <c r="A5" s="4" t="inlineStr">
        <is>
          <t>Marie D.</t>
        </is>
      </c>
      <c r="B5" s="19">
        <f>'👤 Ressources'!Q5</f>
        <v/>
      </c>
      <c r="C5" s="20">
        <f>'👤 Ressources'!R5</f>
        <v/>
      </c>
    </row>
    <row r="6" ht="22" customHeight="1">
      <c r="A6" s="4" t="inlineStr">
        <is>
          <t>Thomas R.</t>
        </is>
      </c>
      <c r="B6" s="19">
        <f>'👤 Ressources'!Q6</f>
        <v/>
      </c>
      <c r="C6" s="20">
        <f>'👤 Ressources'!R6</f>
        <v/>
      </c>
    </row>
    <row r="7" ht="22" customHeight="1">
      <c r="A7" s="4" t="inlineStr">
        <is>
          <t>Sophie M.</t>
        </is>
      </c>
      <c r="B7" s="19">
        <f>'👤 Ressources'!Q7</f>
        <v/>
      </c>
      <c r="C7" s="20">
        <f>'👤 Ressources'!R7</f>
        <v/>
      </c>
    </row>
    <row r="8" ht="22" customHeight="1">
      <c r="A8" s="4" t="inlineStr">
        <is>
          <t>Pierre L.</t>
        </is>
      </c>
      <c r="B8" s="19">
        <f>'👤 Ressources'!Q8</f>
        <v/>
      </c>
      <c r="C8" s="20">
        <f>'👤 Ressources'!R8</f>
        <v/>
      </c>
    </row>
    <row r="9" ht="22" customHeight="1">
      <c r="A9" s="4" t="inlineStr">
        <is>
          <t>Camille B.</t>
        </is>
      </c>
      <c r="B9" s="19">
        <f>'👤 Ressources'!Q9</f>
        <v/>
      </c>
      <c r="C9" s="20">
        <f>'👤 Ressources'!R9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</cols>
  <sheetData>
    <row r="1" ht="30" customHeight="1">
      <c r="A1" s="16" t="inlineStr">
        <is>
          <t>📖 GUIDE D'UTILISATION — Plan de Charge</t>
        </is>
      </c>
    </row>
    <row r="3" ht="22" customHeight="1">
      <c r="A3" s="21" t="inlineStr">
        <is>
          <t>1</t>
        </is>
      </c>
      <c r="B3" s="22" t="inlineStr">
        <is>
          <t>Colonnes S01→S13</t>
        </is>
      </c>
      <c r="C3" s="23" t="inlineStr">
        <is>
          <t>Saisir le nombre de jours travaillés par semaine pour chaque ressource (max 5j)</t>
        </is>
      </c>
    </row>
    <row r="4" ht="22" customHeight="1">
      <c r="A4" s="21" t="inlineStr">
        <is>
          <t>2</t>
        </is>
      </c>
      <c r="B4" s="22" t="inlineStr">
        <is>
          <t>Cellule en BLEU</t>
        </is>
      </c>
      <c r="C4" s="23" t="inlineStr">
        <is>
          <t>Entrée manuelle utilisateur — formules se recalculent automatiquement</t>
        </is>
      </c>
    </row>
    <row r="5" ht="22" customHeight="1">
      <c r="A5" s="21" t="inlineStr">
        <is>
          <t>3</t>
        </is>
      </c>
      <c r="B5" s="22" t="inlineStr">
        <is>
          <t>Cellule en JAUNE</t>
        </is>
      </c>
      <c r="C5" s="23" t="inlineStr">
        <is>
          <t>Surcharge détectée (&gt;5j) — action corrective requise</t>
        </is>
      </c>
    </row>
    <row r="6" ht="22" customHeight="1">
      <c r="A6" s="21" t="inlineStr">
        <is>
          <t>4</t>
        </is>
      </c>
      <c r="B6" s="22" t="inlineStr">
        <is>
          <t>Total jours</t>
        </is>
      </c>
      <c r="C6" s="23" t="inlineStr">
        <is>
          <t>Somme automatique des 13 semaines</t>
        </is>
      </c>
    </row>
    <row r="7" ht="22" customHeight="1">
      <c r="A7" s="21" t="inlineStr">
        <is>
          <t>5</t>
        </is>
      </c>
      <c r="B7" s="22" t="inlineStr">
        <is>
          <t>Taux d'occupation</t>
        </is>
      </c>
      <c r="C7" s="23" t="inlineStr">
        <is>
          <t>Total jours / (13 semaines × 5j) — 100% = pleine capacité</t>
        </is>
      </c>
    </row>
    <row r="8" ht="22" customHeight="1">
      <c r="A8" s="21" t="inlineStr">
        <is>
          <t>6</t>
        </is>
      </c>
      <c r="B8" s="22" t="inlineStr">
        <is>
          <t>Onglet Dashboard</t>
        </is>
      </c>
      <c r="C8" s="23" t="inlineStr">
        <is>
          <t>Vue synthétique par ressource avec indicateurs de surcharge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2026-05-19T19:17:39Z</dcterms:created>
  <dcterms:modified xmlns:dcterms="http://purl.org/dc/terms/" xmlns:xsi="http://www.w3.org/2001/XMLSchema-instance" xsi:type="dcterms:W3CDTF">2026-05-19T19:17:39Z</dcterms:modified>
</cp:coreProperties>
</file>