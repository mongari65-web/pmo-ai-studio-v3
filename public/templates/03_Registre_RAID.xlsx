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ynthèse RAID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⚠️ Risques" sheetId="3" state="visible" r:id="rId3"/>
    <sheet xmlns:r="http://schemas.openxmlformats.org/officeDocument/2006/relationships" name="✅ Actions" sheetId="4" state="visible" r:id="rId4"/>
    <sheet xmlns:r="http://schemas.openxmlformats.org/officeDocument/2006/relationships" name="🔥 Issues" sheetId="5" state="visible" r:id="rId5"/>
    <sheet xmlns:r="http://schemas.openxmlformats.org/officeDocument/2006/relationships" name="📋 Décisions" sheetId="6" state="visible" r:id="rId6"/>
    <sheet xmlns:r="http://schemas.openxmlformats.org/officeDocument/2006/relationships" name="📖 Tuto &amp; Dé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E6C84"/>
      <sz val="10"/>
    </font>
    <font>
      <name val="Arial"/>
      <b val="1"/>
      <color rgb="00FFFFFF"/>
      <sz val="10"/>
    </font>
    <font>
      <name val="Arial"/>
      <color rgb="00172B4D"/>
      <sz val="10"/>
    </font>
    <font>
      <name val="Arial"/>
      <color rgb="000000FF"/>
      <sz val="10"/>
    </font>
    <font>
      <name val="Arial"/>
      <b val="1"/>
      <color rgb="00FFFFFF"/>
      <sz val="14"/>
    </font>
    <font>
      <name val="Arial"/>
      <b val="1"/>
      <color rgb="00172B4D"/>
      <sz val="11"/>
    </font>
    <font>
      <name val="Arial"/>
      <color rgb="00172B4D"/>
      <sz val="11"/>
    </font>
    <font>
      <name val="Arial"/>
      <b val="1"/>
      <color rgb="00FFFFFF"/>
      <sz val="11"/>
    </font>
    <font>
      <name val="Arial"/>
      <b val="1"/>
      <color rgb="00172B4D"/>
      <sz val="10"/>
    </font>
    <font>
      <name val="Arial"/>
      <b val="1"/>
      <color rgb="00974F0C"/>
      <sz val="10"/>
    </font>
  </fonts>
  <fills count="14">
    <fill>
      <patternFill/>
    </fill>
    <fill>
      <patternFill patternType="gray125"/>
    </fill>
    <fill>
      <patternFill patternType="solid">
        <fgColor rgb="00BF2600"/>
      </patternFill>
    </fill>
    <fill>
      <patternFill patternType="solid">
        <fgColor rgb="00F4F5F7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0052CC"/>
      </patternFill>
    </fill>
    <fill>
      <patternFill patternType="solid">
        <fgColor rgb="00974F0C"/>
      </patternFill>
    </fill>
    <fill>
      <patternFill patternType="solid">
        <fgColor rgb="00403294"/>
      </patternFill>
    </fill>
    <fill>
      <patternFill patternType="solid">
        <fgColor rgb="00253858"/>
      </patternFill>
    </fill>
    <fill>
      <patternFill patternType="solid">
        <fgColor rgb="00FFEBE6"/>
      </patternFill>
    </fill>
    <fill>
      <patternFill patternType="solid">
        <fgColor rgb="00DEEBFF"/>
      </patternFill>
    </fill>
    <fill>
      <patternFill patternType="solid">
        <fgColor rgb="00FFF7D6"/>
      </patternFill>
    </fill>
    <fill>
      <patternFill patternType="solid">
        <fgColor rgb="00EAE6FF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1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1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1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1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20" customWidth="1" min="6" max="6"/>
  </cols>
  <sheetData>
    <row r="1" ht="32" customHeight="1">
      <c r="A1" s="1" t="inlineStr">
        <is>
          <t>SYNTHÈSE RAID — Vue consolidée</t>
        </is>
      </c>
    </row>
    <row r="2">
      <c r="A2" s="2" t="inlineStr">
        <is>
          <t>Catégorie</t>
        </is>
      </c>
      <c r="B2" s="2" t="inlineStr">
        <is>
          <t>Ouverts</t>
        </is>
      </c>
      <c r="C2" s="2" t="inlineStr">
        <is>
          <t>En cours</t>
        </is>
      </c>
      <c r="D2" s="2" t="inlineStr">
        <is>
          <t>Terminés</t>
        </is>
      </c>
      <c r="E2" s="2" t="inlineStr">
        <is>
          <t>Total</t>
        </is>
      </c>
      <c r="F2" s="2" t="inlineStr">
        <is>
          <t>Tendance</t>
        </is>
      </c>
    </row>
    <row r="3" ht="22" customHeight="1">
      <c r="A3" s="3" t="inlineStr">
        <is>
          <t>⚠️ Risques</t>
        </is>
      </c>
      <c r="B3" s="4">
        <f>COUNTIF('⚠️ Risques'!K4:K20,"Ouvert")</f>
        <v/>
      </c>
      <c r="C3" s="4">
        <f>COUNTIF('⚠️ Risques'!K4:K20,"En cours")</f>
        <v/>
      </c>
      <c r="D3" s="4">
        <f>COUNTIF('⚠️ Risques'!K4:K20,"Fermé")</f>
        <v/>
      </c>
      <c r="E3" s="4">
        <f>SUM(B3:D3)</f>
        <v/>
      </c>
      <c r="F3" s="5" t="inlineStr">
        <is>
          <t>[↗ Hausse / → Stable / ↘ Baisse]</t>
        </is>
      </c>
    </row>
    <row r="4" ht="22" customHeight="1">
      <c r="A4" s="6" t="inlineStr">
        <is>
          <t>✅ Actions</t>
        </is>
      </c>
      <c r="B4" s="7">
        <f>COUNTIF('✅ Actions'!J4:J20,"Ouvert")</f>
        <v/>
      </c>
      <c r="C4" s="7">
        <f>COUNTIF('✅ Actions'!J4:J20,"En cours")</f>
        <v/>
      </c>
      <c r="D4" s="7">
        <f>COUNTIF('✅ Actions'!J4:J20,"Terminé")</f>
        <v/>
      </c>
      <c r="E4" s="7">
        <f>SUM(B4:D4)</f>
        <v/>
      </c>
      <c r="F4" s="8" t="inlineStr"/>
    </row>
    <row r="5" ht="22" customHeight="1">
      <c r="A5" s="9" t="inlineStr">
        <is>
          <t>🔥 Issues</t>
        </is>
      </c>
      <c r="B5" s="10">
        <f>COUNTIF('🔥 Issues'!J4:J20,"Ouvert")</f>
        <v/>
      </c>
      <c r="C5" s="10">
        <f>COUNTIF('🔥 Issues'!J4:J20,"En cours")</f>
        <v/>
      </c>
      <c r="D5" s="10">
        <f>COUNTIF('🔥 Issues'!J4:J20,"Résolu")</f>
        <v/>
      </c>
      <c r="E5" s="10">
        <f>SUM(B5:D5)</f>
        <v/>
      </c>
      <c r="F5" s="11" t="inlineStr"/>
    </row>
    <row r="6" ht="22" customHeight="1">
      <c r="A6" s="12" t="inlineStr">
        <is>
          <t>📋 Décisions</t>
        </is>
      </c>
      <c r="B6" s="13">
        <f>COUNTIF('📋 Décisions'!I4:I20,"En attente")</f>
        <v/>
      </c>
      <c r="C6" s="13">
        <f>COUNTIF('📋 Décisions'!I4:I20,"En cours")</f>
        <v/>
      </c>
      <c r="D6" s="13">
        <f>COUNTIF('📋 Décisions'!I4:I20,"Validée")</f>
        <v/>
      </c>
      <c r="E6" s="13">
        <f>SUM(B6:D6)</f>
        <v/>
      </c>
      <c r="F6" s="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6" customWidth="1" min="4" max="4"/>
    <col width="13" customWidth="1" min="5" max="5"/>
    <col width="13" customWidth="1" min="6" max="6"/>
    <col width="13" customWidth="1" min="7" max="7"/>
    <col width="18" customWidth="1" min="8" max="8"/>
    <col width="35" customWidth="1" min="9" max="9"/>
    <col width="12" customWidth="1" min="10" max="10"/>
    <col width="14" customWidth="1" min="11" max="11"/>
  </cols>
  <sheetData>
    <row r="1" ht="30" customHeight="1">
      <c r="A1" s="15" t="inlineStr">
        <is>
          <t>REGISTRE ⚠️ Risques — PMO AI Studio</t>
        </is>
      </c>
    </row>
    <row r="2">
      <c r="A2" s="16" t="inlineStr">
        <is>
          <t>Projet : [NOM]   |   Mis à jour le : [DATE]   |   Version : [X.X]   |   CP : [NOM]</t>
        </is>
      </c>
    </row>
    <row r="3" ht="22" customHeight="1">
      <c r="A3" s="17" t="inlineStr">
        <is>
          <t>ID</t>
        </is>
      </c>
      <c r="B3" s="17" t="inlineStr">
        <is>
          <t>Titre</t>
        </is>
      </c>
      <c r="C3" s="17" t="inlineStr">
        <is>
          <t>Description</t>
        </is>
      </c>
      <c r="D3" s="17" t="inlineStr">
        <is>
          <t>Catégorie</t>
        </is>
      </c>
      <c r="E3" s="17" t="inlineStr">
        <is>
          <t>Probabilité</t>
        </is>
      </c>
      <c r="F3" s="17" t="inlineStr">
        <is>
          <t>Impact</t>
        </is>
      </c>
      <c r="G3" s="17" t="inlineStr">
        <is>
          <t>Priorité</t>
        </is>
      </c>
      <c r="H3" s="17" t="inlineStr">
        <is>
          <t>Responsable</t>
        </is>
      </c>
      <c r="I3" s="17" t="inlineStr">
        <is>
          <t>Plan de réponse</t>
        </is>
      </c>
      <c r="J3" s="17" t="inlineStr">
        <is>
          <t>Échéance</t>
        </is>
      </c>
      <c r="K3" s="17" t="inlineStr">
        <is>
          <t>Statut</t>
        </is>
      </c>
    </row>
    <row r="4" ht="20" customHeight="1">
      <c r="A4" s="18" t="inlineStr">
        <is>
          <t>R001</t>
        </is>
      </c>
      <c r="B4" s="19" t="inlineStr">
        <is>
          <t>[Titre risque 1]</t>
        </is>
      </c>
      <c r="C4" s="19" t="inlineStr">
        <is>
          <t>[Description détaillée du risque]</t>
        </is>
      </c>
      <c r="D4" s="19" t="inlineStr">
        <is>
          <t>Technique</t>
        </is>
      </c>
      <c r="E4" s="20" t="inlineStr">
        <is>
          <t>Élevée</t>
        </is>
      </c>
      <c r="F4" s="20" t="inlineStr">
        <is>
          <t>Critique</t>
        </is>
      </c>
      <c r="G4" s="20" t="inlineStr">
        <is>
          <t>🔴 Critique</t>
        </is>
      </c>
      <c r="H4" s="20" t="inlineStr">
        <is>
          <t>[NOM]</t>
        </is>
      </c>
      <c r="I4" s="20" t="inlineStr">
        <is>
          <t>[Plan de mitigation]</t>
        </is>
      </c>
      <c r="J4" s="19" t="inlineStr">
        <is>
          <t>[DATE]</t>
        </is>
      </c>
      <c r="K4" s="19" t="inlineStr">
        <is>
          <t>Ouvert</t>
        </is>
      </c>
    </row>
    <row r="5" ht="20" customHeight="1">
      <c r="A5" s="21" t="inlineStr">
        <is>
          <t>R002</t>
        </is>
      </c>
      <c r="B5" s="19" t="inlineStr">
        <is>
          <t>[Titre risque 2]</t>
        </is>
      </c>
      <c r="C5" s="19" t="inlineStr">
        <is>
          <t>[Description]</t>
        </is>
      </c>
      <c r="D5" s="19" t="inlineStr">
        <is>
          <t>Organisationnel</t>
        </is>
      </c>
      <c r="E5" s="20" t="inlineStr">
        <is>
          <t>Moyenne</t>
        </is>
      </c>
      <c r="F5" s="20" t="inlineStr">
        <is>
          <t>Élevé</t>
        </is>
      </c>
      <c r="G5" s="20" t="inlineStr">
        <is>
          <t>🟠 Élevé</t>
        </is>
      </c>
      <c r="H5" s="20" t="inlineStr">
        <is>
          <t>[NOM]</t>
        </is>
      </c>
      <c r="I5" s="20" t="inlineStr">
        <is>
          <t>[Plan]</t>
        </is>
      </c>
      <c r="J5" s="19" t="inlineStr">
        <is>
          <t>[DATE]</t>
        </is>
      </c>
      <c r="K5" s="19" t="inlineStr">
        <is>
          <t>En cours</t>
        </is>
      </c>
    </row>
    <row r="6" ht="20" customHeight="1">
      <c r="A6" s="18" t="inlineStr">
        <is>
          <t>R003</t>
        </is>
      </c>
      <c r="B6" s="19" t="inlineStr">
        <is>
          <t>[Titre risque 3]</t>
        </is>
      </c>
      <c r="C6" s="19" t="inlineStr">
        <is>
          <t>[Description]</t>
        </is>
      </c>
      <c r="D6" s="19" t="inlineStr">
        <is>
          <t>Budget</t>
        </is>
      </c>
      <c r="E6" s="20" t="inlineStr">
        <is>
          <t>Faible</t>
        </is>
      </c>
      <c r="F6" s="20" t="inlineStr">
        <is>
          <t>Moyen</t>
        </is>
      </c>
      <c r="G6" s="20" t="inlineStr">
        <is>
          <t>🟡 Moyen</t>
        </is>
      </c>
      <c r="H6" s="20" t="inlineStr">
        <is>
          <t>[NOM]</t>
        </is>
      </c>
      <c r="I6" s="20" t="inlineStr">
        <is>
          <t>[Plan]</t>
        </is>
      </c>
      <c r="J6" s="19" t="inlineStr">
        <is>
          <t>[DATE]</t>
        </is>
      </c>
      <c r="K6" s="19" t="inlineStr">
        <is>
          <t>Surveillé</t>
        </is>
      </c>
    </row>
    <row r="7" ht="20" customHeight="1">
      <c r="A7" s="21" t="inlineStr">
        <is>
          <t>R004</t>
        </is>
      </c>
      <c r="B7" s="19" t="inlineStr">
        <is>
          <t>[Titre risque 4]</t>
        </is>
      </c>
      <c r="C7" s="19" t="inlineStr">
        <is>
          <t>[Description]</t>
        </is>
      </c>
      <c r="D7" s="19" t="inlineStr">
        <is>
          <t>Planning</t>
        </is>
      </c>
      <c r="E7" s="20" t="inlineStr">
        <is>
          <t>Faible</t>
        </is>
      </c>
      <c r="F7" s="20" t="inlineStr">
        <is>
          <t>Faible</t>
        </is>
      </c>
      <c r="G7" s="20" t="inlineStr">
        <is>
          <t>🟢 Faible</t>
        </is>
      </c>
      <c r="H7" s="20" t="inlineStr">
        <is>
          <t>[NOM]</t>
        </is>
      </c>
      <c r="I7" s="20" t="inlineStr">
        <is>
          <t>Accepté</t>
        </is>
      </c>
      <c r="J7" s="19" t="inlineStr">
        <is>
          <t>[DATE]</t>
        </is>
      </c>
      <c r="K7" s="19" t="inlineStr">
        <is>
          <t>Accepté</t>
        </is>
      </c>
    </row>
    <row r="8" ht="20" customHeight="1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</row>
    <row r="9" ht="20" customHeight="1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</row>
    <row r="10" ht="20" customHeight="1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</row>
    <row r="11" ht="20" customHeight="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</row>
    <row r="12" ht="20" customHeight="1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6" customWidth="1" min="4" max="4"/>
    <col width="12" customWidth="1" min="5" max="5"/>
    <col width="18" customWidth="1" min="6" max="6"/>
    <col width="13" customWidth="1" min="7" max="7"/>
    <col width="12" customWidth="1" min="8" max="8"/>
    <col width="30" customWidth="1" min="9" max="9"/>
    <col width="14" customWidth="1" min="10" max="10"/>
  </cols>
  <sheetData>
    <row r="1" ht="30" customHeight="1">
      <c r="A1" s="23" t="inlineStr">
        <is>
          <t>REGISTRE ✅ Actions — PMO AI Studio</t>
        </is>
      </c>
    </row>
    <row r="2">
      <c r="A2" s="16" t="inlineStr">
        <is>
          <t>Projet : [NOM]   |   Mis à jour le : [DATE]   |   Version : [X.X]   |   CP : [NOM]</t>
        </is>
      </c>
    </row>
    <row r="3" ht="22" customHeight="1">
      <c r="A3" s="24" t="inlineStr">
        <is>
          <t>ID</t>
        </is>
      </c>
      <c r="B3" s="24" t="inlineStr">
        <is>
          <t>Titre</t>
        </is>
      </c>
      <c r="C3" s="24" t="inlineStr">
        <is>
          <t>Description</t>
        </is>
      </c>
      <c r="D3" s="24" t="inlineStr">
        <is>
          <t>Origine</t>
        </is>
      </c>
      <c r="E3" s="24" t="inlineStr">
        <is>
          <t>Priorité</t>
        </is>
      </c>
      <c r="F3" s="24" t="inlineStr">
        <is>
          <t>Responsable</t>
        </is>
      </c>
      <c r="G3" s="24" t="inlineStr">
        <is>
          <t>Date création</t>
        </is>
      </c>
      <c r="H3" s="24" t="inlineStr">
        <is>
          <t>Échéance</t>
        </is>
      </c>
      <c r="I3" s="24" t="inlineStr">
        <is>
          <t>Commentaires</t>
        </is>
      </c>
      <c r="J3" s="24" t="inlineStr">
        <is>
          <t>Statut</t>
        </is>
      </c>
    </row>
    <row r="4" ht="20" customHeight="1">
      <c r="A4" s="18" t="inlineStr">
        <is>
          <t>A001</t>
        </is>
      </c>
      <c r="B4" s="19" t="inlineStr">
        <is>
          <t>[Action 1]</t>
        </is>
      </c>
      <c r="C4" s="19" t="inlineStr">
        <is>
          <t>[Description de l'action]</t>
        </is>
      </c>
      <c r="D4" s="19" t="inlineStr">
        <is>
          <t>Risque R001</t>
        </is>
      </c>
      <c r="E4" s="20" t="inlineStr">
        <is>
          <t>🔴 Haute</t>
        </is>
      </c>
      <c r="F4" s="20" t="inlineStr">
        <is>
          <t>[NOM]</t>
        </is>
      </c>
      <c r="G4" s="20" t="inlineStr">
        <is>
          <t>[DATE]</t>
        </is>
      </c>
      <c r="H4" s="20" t="inlineStr">
        <is>
          <t>[DATE]</t>
        </is>
      </c>
      <c r="I4" s="20" t="inlineStr">
        <is>
          <t>[Commentaires]</t>
        </is>
      </c>
      <c r="J4" s="19" t="inlineStr">
        <is>
          <t>Ouvert</t>
        </is>
      </c>
    </row>
    <row r="5" ht="20" customHeight="1">
      <c r="A5" s="21" t="inlineStr">
        <is>
          <t>A002</t>
        </is>
      </c>
      <c r="B5" s="19" t="inlineStr">
        <is>
          <t>[Action 2]</t>
        </is>
      </c>
      <c r="C5" s="19" t="inlineStr">
        <is>
          <t>[Description]</t>
        </is>
      </c>
      <c r="D5" s="19" t="inlineStr">
        <is>
          <t>Décision D001</t>
        </is>
      </c>
      <c r="E5" s="20" t="inlineStr">
        <is>
          <t>🟠 Moyenne</t>
        </is>
      </c>
      <c r="F5" s="20" t="inlineStr">
        <is>
          <t>[NOM]</t>
        </is>
      </c>
      <c r="G5" s="20" t="inlineStr">
        <is>
          <t>[DATE]</t>
        </is>
      </c>
      <c r="H5" s="20" t="inlineStr">
        <is>
          <t>[DATE]</t>
        </is>
      </c>
      <c r="I5" s="20" t="inlineStr">
        <is>
          <t>[Commentaires]</t>
        </is>
      </c>
      <c r="J5" s="19" t="inlineStr">
        <is>
          <t>En cours</t>
        </is>
      </c>
    </row>
    <row r="6" ht="20" customHeight="1">
      <c r="A6" s="18" t="inlineStr">
        <is>
          <t>A003</t>
        </is>
      </c>
      <c r="B6" s="19" t="inlineStr">
        <is>
          <t>[Action 3]</t>
        </is>
      </c>
      <c r="C6" s="19" t="inlineStr">
        <is>
          <t>[Description]</t>
        </is>
      </c>
      <c r="D6" s="19" t="inlineStr">
        <is>
          <t>Issue I001</t>
        </is>
      </c>
      <c r="E6" s="20" t="inlineStr">
        <is>
          <t>🟢 Basse</t>
        </is>
      </c>
      <c r="F6" s="20" t="inlineStr">
        <is>
          <t>[NOM]</t>
        </is>
      </c>
      <c r="G6" s="20" t="inlineStr">
        <is>
          <t>[DATE]</t>
        </is>
      </c>
      <c r="H6" s="20" t="inlineStr">
        <is>
          <t>[DATE]</t>
        </is>
      </c>
      <c r="I6" s="20" t="inlineStr">
        <is>
          <t>[Commentaires]</t>
        </is>
      </c>
      <c r="J6" s="19" t="inlineStr">
        <is>
          <t>Terminé</t>
        </is>
      </c>
    </row>
    <row r="7" ht="20" customHeight="1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</row>
    <row r="8" ht="20" customHeight="1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</row>
    <row r="9" ht="20" customHeight="1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</row>
    <row r="10" ht="20" customHeight="1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</row>
    <row r="11" ht="20" customHeight="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2" customWidth="1" min="4" max="4"/>
    <col width="12" customWidth="1" min="5" max="5"/>
    <col width="18" customWidth="1" min="6" max="6"/>
    <col width="13" customWidth="1" min="7" max="7"/>
    <col width="14" customWidth="1" min="8" max="8"/>
    <col width="35" customWidth="1" min="9" max="9"/>
    <col width="14" customWidth="1" min="10" max="10"/>
  </cols>
  <sheetData>
    <row r="1" ht="30" customHeight="1">
      <c r="A1" s="25" t="inlineStr">
        <is>
          <t>REGISTRE 🔥 Issues — PMO AI Studio</t>
        </is>
      </c>
    </row>
    <row r="2">
      <c r="A2" s="16" t="inlineStr">
        <is>
          <t>Projet : [NOM]   |   Mis à jour le : [DATE]   |   Version : [X.X]   |   CP : [NOM]</t>
        </is>
      </c>
    </row>
    <row r="3" ht="22" customHeight="1">
      <c r="A3" s="26" t="inlineStr">
        <is>
          <t>ID</t>
        </is>
      </c>
      <c r="B3" s="26" t="inlineStr">
        <is>
          <t>Titre</t>
        </is>
      </c>
      <c r="C3" s="26" t="inlineStr">
        <is>
          <t>Description</t>
        </is>
      </c>
      <c r="D3" s="26" t="inlineStr">
        <is>
          <t>Impact</t>
        </is>
      </c>
      <c r="E3" s="26" t="inlineStr">
        <is>
          <t>Priorité</t>
        </is>
      </c>
      <c r="F3" s="26" t="inlineStr">
        <is>
          <t>Responsable</t>
        </is>
      </c>
      <c r="G3" s="26" t="inlineStr">
        <is>
          <t>Date détection</t>
        </is>
      </c>
      <c r="H3" s="26" t="inlineStr">
        <is>
          <t>Résolution cible</t>
        </is>
      </c>
      <c r="I3" s="26" t="inlineStr">
        <is>
          <t>Solution appliquée</t>
        </is>
      </c>
      <c r="J3" s="26" t="inlineStr">
        <is>
          <t>Statut</t>
        </is>
      </c>
    </row>
    <row r="4" ht="20" customHeight="1">
      <c r="A4" s="18" t="inlineStr">
        <is>
          <t>I001</t>
        </is>
      </c>
      <c r="B4" s="19" t="inlineStr">
        <is>
          <t>[Issue 1]</t>
        </is>
      </c>
      <c r="C4" s="19" t="inlineStr">
        <is>
          <t>[Description du problème]</t>
        </is>
      </c>
      <c r="D4" s="19" t="inlineStr">
        <is>
          <t>Élevé</t>
        </is>
      </c>
      <c r="E4" s="20" t="inlineStr">
        <is>
          <t>🔴 Haute</t>
        </is>
      </c>
      <c r="F4" s="20" t="inlineStr">
        <is>
          <t>[NOM]</t>
        </is>
      </c>
      <c r="G4" s="20" t="inlineStr">
        <is>
          <t>[DATE]</t>
        </is>
      </c>
      <c r="H4" s="20" t="inlineStr">
        <is>
          <t>[DATE]</t>
        </is>
      </c>
      <c r="I4" s="20" t="inlineStr">
        <is>
          <t>[Solution]</t>
        </is>
      </c>
      <c r="J4" s="19" t="inlineStr">
        <is>
          <t>Ouvert</t>
        </is>
      </c>
    </row>
    <row r="5" ht="20" customHeight="1">
      <c r="A5" s="21" t="inlineStr">
        <is>
          <t>I002</t>
        </is>
      </c>
      <c r="B5" s="19" t="inlineStr">
        <is>
          <t>[Issue 2]</t>
        </is>
      </c>
      <c r="C5" s="19" t="inlineStr">
        <is>
          <t>[Description]</t>
        </is>
      </c>
      <c r="D5" s="19" t="inlineStr">
        <is>
          <t>Moyen</t>
        </is>
      </c>
      <c r="E5" s="20" t="inlineStr">
        <is>
          <t>🟠 Moyenne</t>
        </is>
      </c>
      <c r="F5" s="20" t="inlineStr">
        <is>
          <t>[NOM]</t>
        </is>
      </c>
      <c r="G5" s="20" t="inlineStr">
        <is>
          <t>[DATE]</t>
        </is>
      </c>
      <c r="H5" s="20" t="inlineStr">
        <is>
          <t>[DATE]</t>
        </is>
      </c>
      <c r="I5" s="20" t="inlineStr">
        <is>
          <t>[Solution]</t>
        </is>
      </c>
      <c r="J5" s="19" t="inlineStr">
        <is>
          <t>En cours</t>
        </is>
      </c>
    </row>
    <row r="6" ht="20" customHeight="1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</row>
    <row r="7" ht="20" customHeight="1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</row>
    <row r="8" ht="20" customHeight="1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</row>
    <row r="9" ht="20" customHeight="1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</row>
    <row r="10" ht="20" customHeight="1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8" customWidth="1" min="4" max="4"/>
    <col width="25" customWidth="1" min="5" max="5"/>
    <col width="14" customWidth="1" min="6" max="6"/>
    <col width="14" customWidth="1" min="7" max="7"/>
    <col width="30" customWidth="1" min="8" max="8"/>
    <col width="14" customWidth="1" min="9" max="9"/>
  </cols>
  <sheetData>
    <row r="1" ht="30" customHeight="1">
      <c r="A1" s="27" t="inlineStr">
        <is>
          <t>REGISTRE 📋 Décisions — PMO AI Studio</t>
        </is>
      </c>
    </row>
    <row r="2">
      <c r="A2" s="16" t="inlineStr">
        <is>
          <t>Projet : [NOM]   |   Mis à jour le : [DATE]   |   Version : [X.X]   |   CP : [NOM]</t>
        </is>
      </c>
    </row>
    <row r="3" ht="22" customHeight="1">
      <c r="A3" s="28" t="inlineStr">
        <is>
          <t>ID</t>
        </is>
      </c>
      <c r="B3" s="28" t="inlineStr">
        <is>
          <t>Titre</t>
        </is>
      </c>
      <c r="C3" s="28" t="inlineStr">
        <is>
          <t>Description</t>
        </is>
      </c>
      <c r="D3" s="28" t="inlineStr">
        <is>
          <t>Décideur</t>
        </is>
      </c>
      <c r="E3" s="28" t="inlineStr">
        <is>
          <t>Participants</t>
        </is>
      </c>
      <c r="F3" s="28" t="inlineStr">
        <is>
          <t>Date décision</t>
        </is>
      </c>
      <c r="G3" s="28" t="inlineStr">
        <is>
          <t>Date application</t>
        </is>
      </c>
      <c r="H3" s="28" t="inlineStr">
        <is>
          <t>Impact</t>
        </is>
      </c>
      <c r="I3" s="28" t="inlineStr">
        <is>
          <t>Statut</t>
        </is>
      </c>
    </row>
    <row r="4" ht="20" customHeight="1">
      <c r="A4" s="18" t="inlineStr">
        <is>
          <t>D001</t>
        </is>
      </c>
      <c r="B4" s="19" t="inlineStr">
        <is>
          <t>[Décision 1]</t>
        </is>
      </c>
      <c r="C4" s="19" t="inlineStr">
        <is>
          <t>[Description de la décision prise]</t>
        </is>
      </c>
      <c r="D4" s="19" t="inlineStr">
        <is>
          <t>[CODIR/Sponsor]</t>
        </is>
      </c>
      <c r="E4" s="20" t="inlineStr">
        <is>
          <t>[Noms]</t>
        </is>
      </c>
      <c r="F4" s="20" t="inlineStr">
        <is>
          <t>[DATE]</t>
        </is>
      </c>
      <c r="G4" s="20" t="inlineStr">
        <is>
          <t>[DATE]</t>
        </is>
      </c>
      <c r="H4" s="20" t="inlineStr">
        <is>
          <t>[Impact sur le projet]</t>
        </is>
      </c>
      <c r="I4" s="20" t="inlineStr">
        <is>
          <t>Validée</t>
        </is>
      </c>
    </row>
    <row r="5" ht="20" customHeight="1">
      <c r="A5" s="21" t="inlineStr">
        <is>
          <t>D002</t>
        </is>
      </c>
      <c r="B5" s="19" t="inlineStr">
        <is>
          <t>[Décision 2]</t>
        </is>
      </c>
      <c r="C5" s="19" t="inlineStr">
        <is>
          <t>[Description]</t>
        </is>
      </c>
      <c r="D5" s="19" t="inlineStr">
        <is>
          <t>[NOM]</t>
        </is>
      </c>
      <c r="E5" s="20" t="inlineStr">
        <is>
          <t>[Noms]</t>
        </is>
      </c>
      <c r="F5" s="20" t="inlineStr">
        <is>
          <t>[DATE]</t>
        </is>
      </c>
      <c r="G5" s="20" t="inlineStr">
        <is>
          <t>[DATE]</t>
        </is>
      </c>
      <c r="H5" s="20" t="inlineStr">
        <is>
          <t>[Impact]</t>
        </is>
      </c>
      <c r="I5" s="20" t="inlineStr">
        <is>
          <t>En attente</t>
        </is>
      </c>
    </row>
    <row r="6" ht="20" customHeight="1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  <c r="I6" s="22" t="inlineStr"/>
    </row>
    <row r="7" ht="20" customHeight="1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  <c r="I7" s="22" t="inlineStr"/>
    </row>
    <row r="8" ht="20" customHeight="1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</row>
    <row r="9" ht="20" customHeight="1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</row>
    <row r="10" ht="20" customHeight="1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1" t="inlineStr">
        <is>
          <t>GUIDE D'UTILISATION &amp; DÉFINITIONS — PMO AI Studio</t>
        </is>
      </c>
    </row>
    <row r="3" ht="22" customHeight="1">
      <c r="A3" s="29" t="inlineStr">
        <is>
          <t>DÉFINITIONS — Registre RAID</t>
        </is>
      </c>
    </row>
    <row r="4" ht="18" customHeight="1">
      <c r="A4" s="30" t="inlineStr">
        <is>
          <t>RAID</t>
        </is>
      </c>
      <c r="B4" s="31" t="inlineStr">
        <is>
          <t>Acronyme désignant les Risques, Actions, Issues (problèmes) et Décisions d'un projet.</t>
        </is>
      </c>
    </row>
    <row r="5" ht="18" customHeight="1">
      <c r="A5" s="32" t="inlineStr">
        <is>
          <t>Risque</t>
        </is>
      </c>
      <c r="B5" s="33" t="inlineStr">
        <is>
          <t>Événement incertain qui, s'il se produit, aura un impact positif ou négatif sur les objectifs du projet.</t>
        </is>
      </c>
    </row>
    <row r="6" ht="18" customHeight="1">
      <c r="A6" s="30" t="inlineStr">
        <is>
          <t>Probabilité</t>
        </is>
      </c>
      <c r="B6" s="31" t="inlineStr">
        <is>
          <t>Chance que le risque se réalise : Faible (&lt;20%), Moyenne (20-50%), Élevée (&gt;50%).</t>
        </is>
      </c>
    </row>
    <row r="7" ht="18" customHeight="1">
      <c r="A7" s="32" t="inlineStr">
        <is>
          <t>Impact</t>
        </is>
      </c>
      <c r="B7" s="33" t="inlineStr">
        <is>
          <t>Conséquence si le risque se produit : Faible, Moyen, Élevé, Critique.</t>
        </is>
      </c>
    </row>
    <row r="8" ht="18" customHeight="1">
      <c r="A8" s="30" t="inlineStr">
        <is>
          <t>Priorité</t>
        </is>
      </c>
      <c r="B8" s="31" t="inlineStr">
        <is>
          <t>Combinaison probabilité × impact. Critique = action immédiate requise.</t>
        </is>
      </c>
    </row>
    <row r="9" ht="18" customHeight="1">
      <c r="A9" s="32" t="inlineStr">
        <is>
          <t>Plan de réponse</t>
        </is>
      </c>
      <c r="B9" s="33" t="inlineStr">
        <is>
          <t>Stratégie : Éviter, Transférer, Atténuer, Accepter (pour les menaces).</t>
        </is>
      </c>
    </row>
    <row r="10" ht="18" customHeight="1">
      <c r="A10" s="30" t="inlineStr">
        <is>
          <t>Action</t>
        </is>
      </c>
      <c r="B10" s="31" t="inlineStr">
        <is>
          <t>Tâche spécifique à réaliser pour adresser un risque, une issue ou une décision.</t>
        </is>
      </c>
    </row>
    <row r="11" ht="18" customHeight="1">
      <c r="A11" s="32" t="inlineStr">
        <is>
          <t>Issue (Problème)</t>
        </is>
      </c>
      <c r="B11" s="33" t="inlineStr">
        <is>
          <t>Événement DÉJÀ survenu ayant un impact négatif sur le projet. À résoudre.</t>
        </is>
      </c>
    </row>
    <row r="12" ht="18" customHeight="1">
      <c r="A12" s="30" t="inlineStr">
        <is>
          <t>Décision</t>
        </is>
      </c>
      <c r="B12" s="31" t="inlineStr">
        <is>
          <t>Choix formel pris par une autorité compétente impactant le projet.</t>
        </is>
      </c>
    </row>
    <row r="14" ht="22" customHeight="1">
      <c r="A14" s="29" t="inlineStr">
        <is>
          <t>GUIDE D'UTILISATION</t>
        </is>
      </c>
    </row>
    <row r="15" ht="18" customHeight="1">
      <c r="A15" s="32" t="inlineStr">
        <is>
          <t>Fréquence de mise à jour</t>
        </is>
      </c>
      <c r="B15" s="33" t="inlineStr">
        <is>
          <t>Mettre à jour le RAID à chaque réunion projet (hebdomadaire recommandé).</t>
        </is>
      </c>
    </row>
    <row r="16" ht="18" customHeight="1">
      <c r="A16" s="30" t="inlineStr">
        <is>
          <t>Onglet Risques</t>
        </is>
      </c>
      <c r="B16" s="31" t="inlineStr">
        <is>
          <t>Identifier, évaluer (probabilité × impact) et définir un plan de réponse pour chaque risque.</t>
        </is>
      </c>
    </row>
    <row r="17" ht="18" customHeight="1">
      <c r="A17" s="32" t="inlineStr">
        <is>
          <t>Onglet Actions</t>
        </is>
      </c>
      <c r="B17" s="33" t="inlineStr">
        <is>
          <t>Suivre les actions issues des risques, issues et décisions. Chaque action = 1 responsable + 1 date.</t>
        </is>
      </c>
    </row>
    <row r="18" ht="18" customHeight="1">
      <c r="A18" s="30" t="inlineStr">
        <is>
          <t>Onglet Issues</t>
        </is>
      </c>
      <c r="B18" s="31" t="inlineStr">
        <is>
          <t>Documenter les problèmes réels survenus. Un problème = une solution + un responsable.</t>
        </is>
      </c>
    </row>
    <row r="19" ht="18" customHeight="1">
      <c r="A19" s="32" t="inlineStr">
        <is>
          <t>Onglet Décisions</t>
        </is>
      </c>
      <c r="B19" s="33" t="inlineStr">
        <is>
          <t>Tracer toutes les décisions importantes pour assurer la gouvernance et la traçabilité.</t>
        </is>
      </c>
    </row>
    <row r="20" ht="18" customHeight="1">
      <c r="A20" s="30" t="inlineStr">
        <is>
          <t>Synthèse RAID</t>
        </is>
      </c>
      <c r="B20" s="31" t="inlineStr">
        <is>
          <t>L'onglet Synthèse consolide automatiquement les comptages depuis les autres onglets.</t>
        </is>
      </c>
    </row>
    <row r="21" ht="18" customHeight="1">
      <c r="A21" s="32" t="inlineStr">
        <is>
          <t>Statuts à utiliser</t>
        </is>
      </c>
      <c r="B21" s="33" t="inlineStr">
        <is>
          <t>Risques : Ouvert/En cours/Fermé/Accepté. Actions : Ouvert/En cours/Terminé. Issues : Ouvert/En cours/Résolu.</t>
        </is>
      </c>
    </row>
    <row r="23" ht="20" customHeight="1">
      <c r="A23" s="34" t="inlineStr">
        <is>
          <t>💡 Cellules BLEUES = à saisir  |  Cellules NOIRES = formules automatiques  |  Ne pas modifier les formules</t>
        </is>
      </c>
    </row>
  </sheetData>
  <mergeCells count="4">
    <mergeCell ref="A14:B14"/>
    <mergeCell ref="A3:B3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2026-05-13T19:20:05Z</dcterms:created>
  <dcterms:modified xmlns:dcterms="http://purl.org/dc/terms/" xmlns:xsi="http://www.w3.org/2001/XMLSchema-instance" xsi:type="dcterms:W3CDTF">2026-05-13T19:20:05Z</dcterms:modified>
</cp:coreProperties>
</file>