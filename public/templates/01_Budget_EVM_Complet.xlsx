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⚙️ Paramètres" sheetId="1" state="visible" r:id="rId1"/>
    <sheet xmlns:r="http://schemas.openxmlformats.org/officeDocument/2006/relationships" name="📋 Work Packages &amp; PV" sheetId="2" state="visible" r:id="rId2"/>
    <sheet xmlns:r="http://schemas.openxmlformats.org/officeDocument/2006/relationships" name="📥 EV &amp; AC (Réalisé)" sheetId="3" state="visible" r:id="rId3"/>
    <sheet xmlns:r="http://schemas.openxmlformats.org/officeDocument/2006/relationships" name="📊 Dashboard EVM" sheetId="4" state="visible" r:id="rId4"/>
    <sheet xmlns:r="http://schemas.openxmlformats.org/officeDocument/2006/relationships" name="📈 Courbe S" sheetId="5" state="visible" r:id="rId5"/>
    <sheet xmlns:r="http://schemas.openxmlformats.org/officeDocument/2006/relationships" name="📖 Tuto &amp; Dé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%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2B4D"/>
      <sz val="11"/>
    </font>
    <font>
      <name val="Arial"/>
      <color rgb="000000FF"/>
      <sz val="11"/>
    </font>
    <font>
      <name val="Arial"/>
      <color rgb="005E6C84"/>
      <sz val="9"/>
    </font>
    <font>
      <name val="Arial"/>
      <b val="1"/>
      <color rgb="00FFFFFF"/>
      <sz val="10"/>
    </font>
    <font>
      <name val="Arial"/>
      <b val="1"/>
      <color rgb="000052CC"/>
      <sz val="10"/>
    </font>
    <font>
      <name val="Arial"/>
      <color rgb="005E6C84"/>
      <sz val="10"/>
    </font>
    <font>
      <name val="Arial"/>
      <b val="1"/>
      <color rgb="00172B4D"/>
      <sz val="10"/>
    </font>
    <font>
      <name val="Arial"/>
      <color rgb="000052CC"/>
      <sz val="10"/>
    </font>
    <font>
      <name val="Arial"/>
      <b val="1"/>
      <color rgb="000000FF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403294"/>
      <sz val="10"/>
    </font>
    <font>
      <name val="Arial"/>
      <color rgb="00403294"/>
      <sz val="10"/>
    </font>
    <font>
      <name val="Arial"/>
      <b val="1"/>
      <color rgb="00FF8C00"/>
      <sz val="10"/>
    </font>
    <font>
      <name val="Arial"/>
      <color rgb="00FF8C00"/>
      <sz val="10"/>
    </font>
    <font>
      <name val="Arial"/>
      <b val="1"/>
      <color rgb="00FFFFFF"/>
      <sz val="14"/>
    </font>
    <font>
      <name val="Arial"/>
      <b val="1"/>
      <color rgb="000000FF"/>
      <sz val="14"/>
    </font>
    <font>
      <name val="Arial"/>
      <color rgb="00974F0C"/>
      <sz val="10"/>
    </font>
    <font>
      <name val="Arial"/>
      <b val="1"/>
      <color rgb="000052CC"/>
      <sz val="16"/>
    </font>
    <font>
      <name val="Arial"/>
      <color rgb="005E6C84"/>
      <sz val="8"/>
    </font>
    <font>
      <name val="Arial"/>
      <b val="1"/>
      <color rgb="00403294"/>
      <sz val="16"/>
    </font>
    <font>
      <name val="Arial"/>
      <b val="1"/>
      <color rgb="00FF8C00"/>
      <sz val="16"/>
    </font>
    <font>
      <name val="Arial"/>
      <b val="1"/>
      <color rgb="00006644"/>
      <sz val="16"/>
    </font>
    <font>
      <name val="Arial"/>
      <b val="1"/>
      <color rgb="00974F0C"/>
      <sz val="16"/>
    </font>
    <font>
      <name val="Arial"/>
      <b val="1"/>
      <color rgb="00403294"/>
      <sz val="11"/>
    </font>
    <font>
      <name val="Arial"/>
      <color rgb="00172B4D"/>
      <sz val="10"/>
    </font>
    <font>
      <name val="Arial"/>
      <color rgb="00BF2600"/>
      <sz val="10"/>
    </font>
    <font>
      <name val="Arial"/>
      <b val="1"/>
      <color rgb="00974F0C"/>
      <sz val="10"/>
    </font>
  </fonts>
  <fills count="16">
    <fill>
      <patternFill/>
    </fill>
    <fill>
      <patternFill patternType="gray125"/>
    </fill>
    <fill>
      <patternFill patternType="solid">
        <fgColor rgb="00253858"/>
      </patternFill>
    </fill>
    <fill>
      <patternFill patternType="solid">
        <fgColor rgb="00F4F5F7"/>
      </patternFill>
    </fill>
    <fill>
      <patternFill patternType="solid">
        <fgColor rgb="00EBF5FB"/>
      </patternFill>
    </fill>
    <fill>
      <patternFill patternType="solid">
        <fgColor rgb="000052CC"/>
      </patternFill>
    </fill>
    <fill>
      <patternFill patternType="solid">
        <fgColor rgb="00FFFFFF"/>
      </patternFill>
    </fill>
    <fill>
      <patternFill patternType="solid">
        <fgColor rgb="00403294"/>
      </patternFill>
    </fill>
    <fill>
      <patternFill patternType="solid">
        <fgColor rgb="00EAE6FF"/>
      </patternFill>
    </fill>
    <fill>
      <patternFill patternType="solid">
        <fgColor rgb="00FFF7D6"/>
      </patternFill>
    </fill>
    <fill>
      <patternFill patternType="solid">
        <fgColor rgb="00FF8C00"/>
      </patternFill>
    </fill>
    <fill>
      <patternFill patternType="solid">
        <fgColor rgb="00DEEBFF"/>
      </patternFill>
    </fill>
    <fill>
      <patternFill patternType="solid">
        <fgColor rgb="00006644"/>
      </patternFill>
    </fill>
    <fill>
      <patternFill patternType="solid">
        <fgColor rgb="00E3FCEF"/>
      </patternFill>
    </fill>
    <fill>
      <patternFill patternType="solid">
        <fgColor rgb="00974F0C"/>
      </patternFill>
    </fill>
    <fill>
      <patternFill patternType="solid">
        <fgColor rgb="00FFEBE6"/>
      </patternFill>
    </fill>
  </fills>
  <borders count="2">
    <border>
      <left/>
      <right/>
      <top/>
      <bottom/>
      <diagonal/>
    </border>
    <border>
      <left style="thin">
        <color rgb="00DFE1E6"/>
      </left>
      <right style="thin">
        <color rgb="00DFE1E6"/>
      </right>
      <top style="thin">
        <color rgb="00DFE1E6"/>
      </top>
      <bottom style="thin">
        <color rgb="00DFE1E6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164" fontId="10" fillId="4" borderId="1" applyAlignment="1" pivotButton="0" quotePrefix="0" xfId="0">
      <alignment horizontal="center" vertical="center" wrapText="1"/>
    </xf>
    <xf numFmtId="3" fontId="11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3" fontId="12" fillId="5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3" fontId="12" fillId="7" borderId="1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3" fontId="12" fillId="10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12" fillId="5" borderId="0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164" fontId="20" fillId="11" borderId="1" applyAlignment="1" pivotButton="0" quotePrefix="0" xfId="0">
      <alignment horizontal="center" vertical="center" wrapText="1"/>
    </xf>
    <xf numFmtId="164" fontId="22" fillId="8" borderId="1" applyAlignment="1" pivotButton="0" quotePrefix="0" xfId="0">
      <alignment horizontal="center" vertical="center" wrapText="1"/>
    </xf>
    <xf numFmtId="164" fontId="23" fillId="9" borderId="1" applyAlignment="1" pivotButton="0" quotePrefix="0" xfId="0">
      <alignment horizontal="center" vertical="center" wrapText="1"/>
    </xf>
    <xf numFmtId="164" fontId="24" fillId="13" borderId="1" applyAlignment="1" pivotButton="0" quotePrefix="0" xfId="0">
      <alignment horizontal="center" vertical="center" wrapText="1"/>
    </xf>
    <xf numFmtId="164" fontId="25" fillId="9" borderId="1" applyAlignment="1" pivotButton="0" quotePrefix="0" xfId="0">
      <alignment horizontal="center" vertical="center" wrapText="1"/>
    </xf>
    <xf numFmtId="2" fontId="24" fillId="13" borderId="1" applyAlignment="1" pivotButton="0" quotePrefix="0" xfId="0">
      <alignment horizontal="center" vertical="center" wrapText="1"/>
    </xf>
    <xf numFmtId="2" fontId="25" fillId="9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26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2" fontId="26" fillId="8" borderId="1" applyAlignment="1" pivotButton="0" quotePrefix="0" xfId="0">
      <alignment horizontal="center" vertical="center" wrapText="1"/>
    </xf>
    <xf numFmtId="165" fontId="26" fillId="8" borderId="1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center" vertical="center" wrapText="1"/>
    </xf>
    <xf numFmtId="3" fontId="13" fillId="3" borderId="1" applyAlignment="1" pivotButton="0" quotePrefix="0" xfId="0">
      <alignment horizontal="center" vertical="center" wrapText="1"/>
    </xf>
    <xf numFmtId="3" fontId="15" fillId="3" borderId="1" applyAlignment="1" pivotButton="0" quotePrefix="0" xfId="0">
      <alignment horizontal="center" vertical="center" wrapText="1"/>
    </xf>
    <xf numFmtId="3" fontId="27" fillId="3" borderId="1" applyAlignment="1" pivotButton="0" quotePrefix="0" xfId="0">
      <alignment horizontal="center" vertical="center" wrapText="1"/>
    </xf>
    <xf numFmtId="2" fontId="27" fillId="3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3" fontId="13" fillId="6" borderId="1" applyAlignment="1" pivotButton="0" quotePrefix="0" xfId="0">
      <alignment horizontal="center" vertical="center" wrapText="1"/>
    </xf>
    <xf numFmtId="3" fontId="15" fillId="6" borderId="1" applyAlignment="1" pivotButton="0" quotePrefix="0" xfId="0">
      <alignment horizontal="center" vertical="center" wrapText="1"/>
    </xf>
    <xf numFmtId="3" fontId="27" fillId="6" borderId="1" applyAlignment="1" pivotButton="0" quotePrefix="0" xfId="0">
      <alignment horizontal="center" vertical="center" wrapText="1"/>
    </xf>
    <xf numFmtId="2" fontId="2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3" fontId="28" fillId="15" borderId="1" applyAlignment="1" pivotButton="0" quotePrefix="0" xfId="0">
      <alignment horizontal="center" vertical="center" wrapText="1"/>
    </xf>
    <xf numFmtId="3" fontId="28" fillId="6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 wrapText="1"/>
    </xf>
    <xf numFmtId="0" fontId="29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Courbes S — EVM</a:t>
            </a:r>
          </a:p>
        </rich>
      </tx>
    </title>
    <plotArea>
      <lineChart>
        <grouping val="standard"/>
        <ser>
          <idx val="0"/>
          <order val="0"/>
          <tx>
            <strRef>
              <f>'📈 Courbe S'!B2</f>
            </strRef>
          </tx>
          <spPr>
            <a:ln xmlns:a="http://schemas.openxmlformats.org/drawingml/2006/main" w="20000">
              <a:solidFill>
                <a:srgbClr val="0052C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52CC"/>
              </a:solidFill>
              <a:ln xmlns:a="http://schemas.openxmlformats.org/drawingml/2006/main">
                <a:prstDash val="solid"/>
              </a:ln>
            </spPr>
          </marker>
          <cat>
            <numRef>
              <f>'📈 Courbe S'!$A$3:$A$14</f>
            </numRef>
          </cat>
          <val>
            <numRef>
              <f>'📈 Courbe S'!$B$3:$B$14</f>
            </numRef>
          </val>
        </ser>
        <ser>
          <idx val="1"/>
          <order val="1"/>
          <tx>
            <strRef>
              <f>'📈 Courbe S'!C2</f>
            </strRef>
          </tx>
          <spPr>
            <a:ln xmlns:a="http://schemas.openxmlformats.org/drawingml/2006/main" w="20000">
              <a:solidFill>
                <a:srgbClr val="40329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03294"/>
              </a:solidFill>
              <a:ln xmlns:a="http://schemas.openxmlformats.org/drawingml/2006/main">
                <a:prstDash val="solid"/>
              </a:ln>
            </spPr>
          </marker>
          <cat>
            <numRef>
              <f>'📈 Courbe S'!$A$3:$A$14</f>
            </numRef>
          </cat>
          <val>
            <numRef>
              <f>'📈 Courbe S'!$C$3:$C$14</f>
            </numRef>
          </val>
        </ser>
        <ser>
          <idx val="2"/>
          <order val="2"/>
          <tx>
            <strRef>
              <f>'📈 Courbe S'!D2</f>
            </strRef>
          </tx>
          <spPr>
            <a:ln xmlns:a="http://schemas.openxmlformats.org/drawingml/2006/main" w="20000">
              <a:solidFill>
                <a:srgbClr val="FF8C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prstDash val="solid"/>
              </a:ln>
            </spPr>
          </marker>
          <cat>
            <numRef>
              <f>'📈 Courbe S'!$A$3:$A$14</f>
            </numRef>
          </cat>
          <val>
            <numRef>
              <f>'📈 Courbe S'!$D$3:$D$14</f>
            </numRef>
          </val>
        </ser>
        <ser>
          <idx val="3"/>
          <order val="3"/>
          <tx>
            <strRef>
              <f>'📈 Courbe S'!E2</f>
            </strRef>
          </tx>
          <spPr>
            <a:ln xmlns:a="http://schemas.openxmlformats.org/drawingml/2006/main" w="20000">
              <a:solidFill>
                <a:srgbClr val="BF26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BF2600"/>
              </a:solidFill>
              <a:ln xmlns:a="http://schemas.openxmlformats.org/drawingml/2006/main">
                <a:prstDash val="solid"/>
              </a:ln>
            </spPr>
          </marker>
          <cat>
            <numRef>
              <f>'📈 Courbe S'!$A$3:$A$14</f>
            </numRef>
          </cat>
          <val>
            <numRef>
              <f>'📈 Courbe S'!$E$3:$E$14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Montant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40" customWidth="1" min="3" max="3"/>
  </cols>
  <sheetData>
    <row r="1" ht="32" customHeight="1">
      <c r="A1" s="1" t="inlineStr">
        <is>
          <t>PARAMÈTRES DU PROJET — Budget EVM</t>
        </is>
      </c>
    </row>
    <row r="3" ht="22" customHeight="1">
      <c r="A3" s="2" t="inlineStr">
        <is>
          <t>Nom du projet</t>
        </is>
      </c>
      <c r="B3" s="3" t="inlineStr">
        <is>
          <t>[Entrez le nom du projet ici]</t>
        </is>
      </c>
    </row>
    <row r="4" ht="22" customHeight="1">
      <c r="A4" s="2" t="inlineStr">
        <is>
          <t>Chef de Projet</t>
        </is>
      </c>
      <c r="B4" s="3" t="inlineStr">
        <is>
          <t>[Nom du CP]</t>
        </is>
      </c>
    </row>
    <row r="5" ht="22" customHeight="1">
      <c r="A5" s="2" t="inlineStr">
        <is>
          <t>Sponsor</t>
        </is>
      </c>
      <c r="B5" s="3" t="inlineStr">
        <is>
          <t>[Nom du Sponsor]</t>
        </is>
      </c>
    </row>
    <row r="6" ht="22" customHeight="1">
      <c r="A6" s="2" t="inlineStr">
        <is>
          <t>Date de début</t>
        </is>
      </c>
      <c r="B6" s="3" t="inlineStr">
        <is>
          <t>2026-01-01</t>
        </is>
      </c>
    </row>
    <row r="7" ht="22" customHeight="1">
      <c r="A7" s="2" t="inlineStr">
        <is>
          <t>Date de fin prévue</t>
        </is>
      </c>
      <c r="B7" s="3" t="inlineStr">
        <is>
          <t>2026-12-31</t>
        </is>
      </c>
    </row>
    <row r="8" ht="22" customHeight="1">
      <c r="A8" s="2" t="inlineStr">
        <is>
          <t>Mois courant (1-12)</t>
        </is>
      </c>
      <c r="B8" s="3" t="inlineStr">
        <is>
          <t>7</t>
        </is>
      </c>
      <c r="C8" s="4" t="inlineStr">
        <is>
          <t>Le mois pour lequel calculer les KPIs</t>
        </is>
      </c>
    </row>
    <row r="9" ht="22" customHeight="1">
      <c r="A9" s="2" t="inlineStr">
        <is>
          <t>Devise</t>
        </is>
      </c>
      <c r="B9" s="3" t="inlineStr">
        <is>
          <t>€</t>
        </is>
      </c>
    </row>
    <row r="10" ht="22" customHeight="1">
      <c r="A10" s="2" t="inlineStr">
        <is>
          <t>Méthodologie</t>
        </is>
      </c>
      <c r="B10" s="3" t="inlineStr">
        <is>
          <t>PMBOK 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18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30" customHeight="1">
      <c r="A1" s="5" t="inlineStr">
        <is>
          <t>WORK PACKAGES &amp; VALEUR PLANIFIÉE (PV) — Saisir les cellules bleues</t>
        </is>
      </c>
    </row>
    <row r="3" ht="22" customHeight="1">
      <c r="A3" s="6" t="inlineStr">
        <is>
          <t>#</t>
        </is>
      </c>
      <c r="B3" s="6" t="inlineStr">
        <is>
          <t>Phase</t>
        </is>
      </c>
      <c r="C3" s="6" t="inlineStr">
        <is>
          <t>Work Package</t>
        </is>
      </c>
      <c r="D3" s="6" t="inlineStr">
        <is>
          <t>Responsable</t>
        </is>
      </c>
      <c r="E3" s="6" t="inlineStr">
        <is>
          <t>BAC (€)</t>
        </is>
      </c>
      <c r="F3" s="6" t="inlineStr">
        <is>
          <t>Jan</t>
        </is>
      </c>
      <c r="G3" s="6" t="inlineStr">
        <is>
          <t>Fév</t>
        </is>
      </c>
      <c r="H3" s="6" t="inlineStr">
        <is>
          <t>Mar</t>
        </is>
      </c>
      <c r="I3" s="6" t="inlineStr">
        <is>
          <t>Avr</t>
        </is>
      </c>
      <c r="J3" s="6" t="inlineStr">
        <is>
          <t>Mai</t>
        </is>
      </c>
      <c r="K3" s="6" t="inlineStr">
        <is>
          <t>Jun</t>
        </is>
      </c>
      <c r="L3" s="6" t="inlineStr">
        <is>
          <t>Jul</t>
        </is>
      </c>
      <c r="M3" s="6" t="inlineStr">
        <is>
          <t>Aoû</t>
        </is>
      </c>
      <c r="N3" s="6" t="inlineStr">
        <is>
          <t>Sep</t>
        </is>
      </c>
      <c r="O3" s="6" t="inlineStr">
        <is>
          <t>Oct</t>
        </is>
      </c>
      <c r="P3" s="6" t="inlineStr">
        <is>
          <t>Nov</t>
        </is>
      </c>
      <c r="Q3" s="6" t="inlineStr">
        <is>
          <t>Déc</t>
        </is>
      </c>
    </row>
    <row r="4" ht="20" customHeight="1">
      <c r="A4" s="7" t="inlineStr">
        <is>
          <t>WP1</t>
        </is>
      </c>
      <c r="B4" s="8" t="inlineStr">
        <is>
          <t>Phase 1 — Init.</t>
        </is>
      </c>
      <c r="C4" s="9" t="inlineStr">
        <is>
          <t>Initialisation &amp; Cadrage</t>
        </is>
      </c>
      <c r="D4" s="10" t="inlineStr">
        <is>
          <t>Chef de Projet</t>
        </is>
      </c>
      <c r="E4" s="11" t="n">
        <v>25000</v>
      </c>
      <c r="F4" s="12" t="n">
        <v>1000</v>
      </c>
      <c r="G4" s="12" t="n">
        <v>2000</v>
      </c>
      <c r="H4" s="12" t="n">
        <v>3000</v>
      </c>
      <c r="I4" s="12" t="n">
        <v>4000</v>
      </c>
      <c r="J4" s="12" t="n">
        <v>5000</v>
      </c>
      <c r="K4" s="12" t="n">
        <v>6000</v>
      </c>
      <c r="L4" s="12" t="n">
        <v>7000</v>
      </c>
      <c r="M4" s="12" t="n">
        <v>8000</v>
      </c>
      <c r="N4" s="12" t="n">
        <v>9500</v>
      </c>
      <c r="O4" s="12" t="n">
        <v>11000</v>
      </c>
      <c r="P4" s="12" t="n">
        <v>13000</v>
      </c>
      <c r="Q4" s="12" t="n">
        <v>15000</v>
      </c>
    </row>
    <row r="5" ht="20" customHeight="1">
      <c r="A5" s="13" t="inlineStr">
        <is>
          <t>WP2</t>
        </is>
      </c>
      <c r="B5" s="14" t="inlineStr">
        <is>
          <t>Phase 1 — Init.</t>
        </is>
      </c>
      <c r="C5" s="15" t="inlineStr">
        <is>
          <t>Planification détaillée</t>
        </is>
      </c>
      <c r="D5" s="16" t="inlineStr">
        <is>
          <t>Chef de Projet</t>
        </is>
      </c>
      <c r="E5" s="11" t="n">
        <v>15000</v>
      </c>
      <c r="F5" s="12" t="n">
        <v>0</v>
      </c>
      <c r="G5" s="12" t="n">
        <v>1500</v>
      </c>
      <c r="H5" s="12" t="n">
        <v>3000</v>
      </c>
      <c r="I5" s="12" t="n">
        <v>4500</v>
      </c>
      <c r="J5" s="12" t="n">
        <v>6000</v>
      </c>
      <c r="K5" s="12" t="n">
        <v>7500</v>
      </c>
      <c r="L5" s="12" t="n">
        <v>9000</v>
      </c>
      <c r="M5" s="12" t="n">
        <v>10500</v>
      </c>
      <c r="N5" s="12" t="n">
        <v>12000</v>
      </c>
      <c r="O5" s="12" t="n">
        <v>13500</v>
      </c>
      <c r="P5" s="12" t="n">
        <v>15000</v>
      </c>
      <c r="Q5" s="12" t="n">
        <v>15000</v>
      </c>
    </row>
    <row r="6" ht="20" customHeight="1">
      <c r="A6" s="7" t="inlineStr">
        <is>
          <t>WP3</t>
        </is>
      </c>
      <c r="B6" s="8" t="inlineStr">
        <is>
          <t>Phase 2 — Analyse</t>
        </is>
      </c>
      <c r="C6" s="9" t="inlineStr">
        <is>
          <t>Audit infrastructure</t>
        </is>
      </c>
      <c r="D6" s="10" t="inlineStr">
        <is>
          <t>Architecte SI</t>
        </is>
      </c>
      <c r="E6" s="11" t="n">
        <v>30000</v>
      </c>
      <c r="F6" s="12" t="n">
        <v>0</v>
      </c>
      <c r="G6" s="12" t="n">
        <v>0</v>
      </c>
      <c r="H6" s="12" t="n">
        <v>3000</v>
      </c>
      <c r="I6" s="12" t="n">
        <v>6000</v>
      </c>
      <c r="J6" s="12" t="n">
        <v>10500</v>
      </c>
      <c r="K6" s="12" t="n">
        <v>15000</v>
      </c>
      <c r="L6" s="12" t="n">
        <v>19500</v>
      </c>
      <c r="M6" s="12" t="n">
        <v>24000</v>
      </c>
      <c r="N6" s="12" t="n">
        <v>27000</v>
      </c>
      <c r="O6" s="12" t="n">
        <v>30000</v>
      </c>
      <c r="P6" s="12" t="n">
        <v>30000</v>
      </c>
      <c r="Q6" s="12" t="n">
        <v>30000</v>
      </c>
    </row>
    <row r="7" ht="20" customHeight="1">
      <c r="A7" s="13" t="inlineStr">
        <is>
          <t>WP4</t>
        </is>
      </c>
      <c r="B7" s="14" t="inlineStr">
        <is>
          <t>Phase 2 — Analyse</t>
        </is>
      </c>
      <c r="C7" s="15" t="inlineStr">
        <is>
          <t>Reverse engineering apps</t>
        </is>
      </c>
      <c r="D7" s="16" t="inlineStr">
        <is>
          <t>Architecte Sol.</t>
        </is>
      </c>
      <c r="E7" s="11" t="n">
        <v>20000</v>
      </c>
      <c r="F7" s="12" t="n">
        <v>0</v>
      </c>
      <c r="G7" s="12" t="n">
        <v>0</v>
      </c>
      <c r="H7" s="12" t="n">
        <v>0</v>
      </c>
      <c r="I7" s="12" t="n">
        <v>3000</v>
      </c>
      <c r="J7" s="12" t="n">
        <v>6000</v>
      </c>
      <c r="K7" s="12" t="n">
        <v>10000</v>
      </c>
      <c r="L7" s="12" t="n">
        <v>13000</v>
      </c>
      <c r="M7" s="12" t="n">
        <v>16000</v>
      </c>
      <c r="N7" s="12" t="n">
        <v>18000</v>
      </c>
      <c r="O7" s="12" t="n">
        <v>20000</v>
      </c>
      <c r="P7" s="12" t="n">
        <v>20000</v>
      </c>
      <c r="Q7" s="12" t="n">
        <v>20000</v>
      </c>
    </row>
    <row r="8" ht="20" customHeight="1">
      <c r="A8" s="7" t="inlineStr">
        <is>
          <t>WP5</t>
        </is>
      </c>
      <c r="B8" s="8" t="inlineStr">
        <is>
          <t>Phase 3 — Conception</t>
        </is>
      </c>
      <c r="C8" s="9" t="inlineStr">
        <is>
          <t>Architecture cible</t>
        </is>
      </c>
      <c r="D8" s="10" t="inlineStr">
        <is>
          <t>Architecte Inf.</t>
        </is>
      </c>
      <c r="E8" s="11" t="n">
        <v>40000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4000</v>
      </c>
      <c r="K8" s="12" t="n">
        <v>10000</v>
      </c>
      <c r="L8" s="12" t="n">
        <v>16000</v>
      </c>
      <c r="M8" s="12" t="n">
        <v>24000</v>
      </c>
      <c r="N8" s="12" t="n">
        <v>30000</v>
      </c>
      <c r="O8" s="12" t="n">
        <v>36000</v>
      </c>
      <c r="P8" s="12" t="n">
        <v>40000</v>
      </c>
      <c r="Q8" s="12" t="n">
        <v>40000</v>
      </c>
    </row>
    <row r="9" ht="20" customHeight="1">
      <c r="A9" s="13" t="inlineStr">
        <is>
          <t>WP6</t>
        </is>
      </c>
      <c r="B9" s="14" t="inlineStr">
        <is>
          <t>Phase 3 — Conception</t>
        </is>
      </c>
      <c r="C9" s="15" t="inlineStr">
        <is>
          <t>Conception SSO &amp; HA</t>
        </is>
      </c>
      <c r="D9" s="16" t="inlineStr">
        <is>
          <t>Expert Sécurité</t>
        </is>
      </c>
      <c r="E9" s="11" t="n">
        <v>25000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3750</v>
      </c>
      <c r="L9" s="12" t="n">
        <v>8750</v>
      </c>
      <c r="M9" s="12" t="n">
        <v>13750</v>
      </c>
      <c r="N9" s="12" t="n">
        <v>18750</v>
      </c>
      <c r="O9" s="12" t="n">
        <v>22500</v>
      </c>
      <c r="P9" s="12" t="n">
        <v>25000</v>
      </c>
      <c r="Q9" s="12" t="n">
        <v>25000</v>
      </c>
    </row>
    <row r="10" ht="20" customHeight="1">
      <c r="A10" s="7" t="inlineStr">
        <is>
          <t>WP7</t>
        </is>
      </c>
      <c r="B10" s="8" t="inlineStr">
        <is>
          <t>Phase 4 — Déploiement</t>
        </is>
      </c>
      <c r="C10" s="9" t="inlineStr">
        <is>
          <t>Migration production</t>
        </is>
      </c>
      <c r="D10" s="10" t="inlineStr">
        <is>
          <t>Admin Système</t>
        </is>
      </c>
      <c r="E10" s="11" t="n">
        <v>55000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5500</v>
      </c>
      <c r="M10" s="12" t="n">
        <v>16500</v>
      </c>
      <c r="N10" s="12" t="n">
        <v>27500</v>
      </c>
      <c r="O10" s="12" t="n">
        <v>38500</v>
      </c>
      <c r="P10" s="12" t="n">
        <v>49500</v>
      </c>
      <c r="Q10" s="12" t="n">
        <v>55000</v>
      </c>
    </row>
    <row r="11" ht="20" customHeight="1">
      <c r="A11" s="13" t="inlineStr">
        <is>
          <t>WP8</t>
        </is>
      </c>
      <c r="B11" s="14" t="inlineStr">
        <is>
          <t>Phase 5 — Recette</t>
        </is>
      </c>
      <c r="C11" s="15" t="inlineStr">
        <is>
          <t>Tests &amp; validation</t>
        </is>
      </c>
      <c r="D11" s="16" t="inlineStr">
        <is>
          <t>Chef de Projet</t>
        </is>
      </c>
      <c r="E11" s="11" t="n">
        <v>35000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3500</v>
      </c>
      <c r="N11" s="12" t="n">
        <v>10500</v>
      </c>
      <c r="O11" s="12" t="n">
        <v>21000</v>
      </c>
      <c r="P11" s="12" t="n">
        <v>29750</v>
      </c>
      <c r="Q11" s="12" t="n">
        <v>35000</v>
      </c>
    </row>
    <row r="12" ht="22" customHeight="1">
      <c r="C12" s="17" t="inlineStr">
        <is>
          <t>TOTAL PV</t>
        </is>
      </c>
      <c r="E12" s="18">
        <f>SUM(E4:E11)</f>
        <v/>
      </c>
      <c r="F12" s="18">
        <f>SUM(F4:F11)</f>
        <v/>
      </c>
      <c r="G12" s="18">
        <f>SUM(G4:G11)</f>
        <v/>
      </c>
      <c r="H12" s="18">
        <f>SUM(H4:H11)</f>
        <v/>
      </c>
      <c r="I12" s="18">
        <f>SUM(I4:I11)</f>
        <v/>
      </c>
      <c r="J12" s="18">
        <f>SUM(J4:J11)</f>
        <v/>
      </c>
      <c r="K12" s="18">
        <f>SUM(K4:K11)</f>
        <v/>
      </c>
      <c r="L12" s="18">
        <f>SUM(L4:L11)</f>
        <v/>
      </c>
      <c r="M12" s="18">
        <f>SUM(M4:M11)</f>
        <v/>
      </c>
      <c r="N12" s="18">
        <f>SUM(N4:N11)</f>
        <v/>
      </c>
      <c r="O12" s="18">
        <f>SUM(O4:O11)</f>
        <v/>
      </c>
      <c r="P12" s="18">
        <f>SUM(P4:P11)</f>
        <v/>
      </c>
      <c r="Q12" s="18">
        <f>SUM(Q4:Q11)</f>
        <v/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18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30" customHeight="1">
      <c r="A1" s="19" t="inlineStr">
        <is>
          <t>SAISIE MENSUELLE — EV (Valeur Acquise) &amp; AC (Coût Réel)</t>
        </is>
      </c>
    </row>
    <row r="2">
      <c r="A2" s="20" t="inlineStr">
        <is>
          <t>▼ PARTIE 1 : EV — Earned Value (Valeur Acquise) — Saisissez le cumul réalisé chaque mois pour chaque WP</t>
        </is>
      </c>
    </row>
    <row r="3">
      <c r="A3" s="21" t="inlineStr">
        <is>
          <t>#</t>
        </is>
      </c>
      <c r="B3" s="21" t="inlineStr">
        <is>
          <t>Phase</t>
        </is>
      </c>
      <c r="C3" s="21" t="inlineStr">
        <is>
          <t>Work Package</t>
        </is>
      </c>
      <c r="D3" s="21" t="inlineStr">
        <is>
          <t>Resp.</t>
        </is>
      </c>
      <c r="E3" s="21" t="inlineStr">
        <is>
          <t>BAC €</t>
        </is>
      </c>
      <c r="F3" s="21" t="inlineStr">
        <is>
          <t>Jan</t>
        </is>
      </c>
      <c r="G3" s="21" t="inlineStr">
        <is>
          <t>Fév</t>
        </is>
      </c>
      <c r="H3" s="21" t="inlineStr">
        <is>
          <t>Mar</t>
        </is>
      </c>
      <c r="I3" s="21" t="inlineStr">
        <is>
          <t>Avr</t>
        </is>
      </c>
      <c r="J3" s="21" t="inlineStr">
        <is>
          <t>Mai</t>
        </is>
      </c>
      <c r="K3" s="21" t="inlineStr">
        <is>
          <t>Jun</t>
        </is>
      </c>
      <c r="L3" s="21" t="inlineStr">
        <is>
          <t>Jul</t>
        </is>
      </c>
      <c r="M3" s="21" t="inlineStr">
        <is>
          <t>Aoû</t>
        </is>
      </c>
      <c r="N3" s="21" t="inlineStr">
        <is>
          <t>Sep</t>
        </is>
      </c>
      <c r="O3" s="21" t="inlineStr">
        <is>
          <t>Oct</t>
        </is>
      </c>
      <c r="P3" s="21" t="inlineStr">
        <is>
          <t>Nov</t>
        </is>
      </c>
      <c r="Q3" s="21" t="inlineStr">
        <is>
          <t>Déc</t>
        </is>
      </c>
    </row>
    <row r="4" ht="20" customHeight="1">
      <c r="A4" s="22" t="inlineStr">
        <is>
          <t>WP1</t>
        </is>
      </c>
      <c r="B4" s="8" t="inlineStr">
        <is>
          <t>Phase 1 — Init.</t>
        </is>
      </c>
      <c r="C4" s="9" t="inlineStr">
        <is>
          <t>EV — Initialisation &amp; Cadrage</t>
        </is>
      </c>
      <c r="D4" s="23" t="inlineStr">
        <is>
          <t>Chef de Projet</t>
        </is>
      </c>
      <c r="E4" s="11" t="n">
        <v>25000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3750</v>
      </c>
      <c r="K4" s="12" t="n">
        <v>7500</v>
      </c>
      <c r="L4" s="12" t="n">
        <v>11250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</row>
    <row r="5" ht="20" customHeight="1">
      <c r="A5" s="24" t="inlineStr">
        <is>
          <t>WP2</t>
        </is>
      </c>
      <c r="B5" s="25" t="inlineStr">
        <is>
          <t>Phase 1 — Init.</t>
        </is>
      </c>
      <c r="C5" s="26" t="inlineStr">
        <is>
          <t>EV — Planification détaillée</t>
        </is>
      </c>
      <c r="D5" s="27" t="inlineStr">
        <is>
          <t>Chef de Projet</t>
        </is>
      </c>
      <c r="E5" s="11" t="n">
        <v>15000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2250</v>
      </c>
      <c r="K5" s="12" t="n">
        <v>4500</v>
      </c>
      <c r="L5" s="12" t="n">
        <v>6750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</row>
    <row r="6" ht="20" customHeight="1">
      <c r="A6" s="22" t="inlineStr">
        <is>
          <t>WP3</t>
        </is>
      </c>
      <c r="B6" s="8" t="inlineStr">
        <is>
          <t>Phase 2 — Analyse</t>
        </is>
      </c>
      <c r="C6" s="9" t="inlineStr">
        <is>
          <t>EV — Audit infrastructure</t>
        </is>
      </c>
      <c r="D6" s="23" t="inlineStr">
        <is>
          <t>Architecte SI</t>
        </is>
      </c>
      <c r="E6" s="11" t="n">
        <v>30000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4500</v>
      </c>
      <c r="K6" s="12" t="n">
        <v>9000</v>
      </c>
      <c r="L6" s="12" t="n">
        <v>13500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</row>
    <row r="7" ht="20" customHeight="1">
      <c r="A7" s="24" t="inlineStr">
        <is>
          <t>WP4</t>
        </is>
      </c>
      <c r="B7" s="25" t="inlineStr">
        <is>
          <t>Phase 2 — Analyse</t>
        </is>
      </c>
      <c r="C7" s="26" t="inlineStr">
        <is>
          <t>EV — Reverse engineering apps</t>
        </is>
      </c>
      <c r="D7" s="27" t="inlineStr">
        <is>
          <t>Architecte Sol.</t>
        </is>
      </c>
      <c r="E7" s="11" t="n">
        <v>20000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3000</v>
      </c>
      <c r="K7" s="12" t="n">
        <v>6000</v>
      </c>
      <c r="L7" s="12" t="n">
        <v>9000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</row>
    <row r="8" ht="20" customHeight="1">
      <c r="A8" s="22" t="inlineStr">
        <is>
          <t>WP5</t>
        </is>
      </c>
      <c r="B8" s="8" t="inlineStr">
        <is>
          <t>Phase 3 — Conception</t>
        </is>
      </c>
      <c r="C8" s="9" t="inlineStr">
        <is>
          <t>EV — Architecture cible</t>
        </is>
      </c>
      <c r="D8" s="23" t="inlineStr">
        <is>
          <t>Architecte Inf.</t>
        </is>
      </c>
      <c r="E8" s="11" t="n">
        <v>40000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6000</v>
      </c>
      <c r="K8" s="12" t="n">
        <v>12000</v>
      </c>
      <c r="L8" s="12" t="n">
        <v>18000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</row>
    <row r="9" ht="20" customHeight="1">
      <c r="A9" s="24" t="inlineStr">
        <is>
          <t>WP6</t>
        </is>
      </c>
      <c r="B9" s="25" t="inlineStr">
        <is>
          <t>Phase 3 — Conception</t>
        </is>
      </c>
      <c r="C9" s="26" t="inlineStr">
        <is>
          <t>EV — Conception SSO &amp; HA</t>
        </is>
      </c>
      <c r="D9" s="27" t="inlineStr">
        <is>
          <t>Expert Sécurité</t>
        </is>
      </c>
      <c r="E9" s="11" t="n">
        <v>25000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3750</v>
      </c>
      <c r="K9" s="12" t="n">
        <v>7500</v>
      </c>
      <c r="L9" s="12" t="n">
        <v>11250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</row>
    <row r="10" ht="20" customHeight="1">
      <c r="A10" s="22" t="inlineStr">
        <is>
          <t>WP7</t>
        </is>
      </c>
      <c r="B10" s="8" t="inlineStr">
        <is>
          <t>Phase 4 — Déploiement</t>
        </is>
      </c>
      <c r="C10" s="9" t="inlineStr">
        <is>
          <t>EV — Migration production</t>
        </is>
      </c>
      <c r="D10" s="23" t="inlineStr">
        <is>
          <t>Admin Système</t>
        </is>
      </c>
      <c r="E10" s="11" t="n">
        <v>55000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8250</v>
      </c>
      <c r="K10" s="12" t="n">
        <v>16500</v>
      </c>
      <c r="L10" s="12" t="n">
        <v>24750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</row>
    <row r="11" ht="20" customHeight="1">
      <c r="A11" s="24" t="inlineStr">
        <is>
          <t>WP8</t>
        </is>
      </c>
      <c r="B11" s="25" t="inlineStr">
        <is>
          <t>Phase 5 — Recette</t>
        </is>
      </c>
      <c r="C11" s="26" t="inlineStr">
        <is>
          <t>EV — Tests &amp; validation</t>
        </is>
      </c>
      <c r="D11" s="27" t="inlineStr">
        <is>
          <t>Chef de Projet</t>
        </is>
      </c>
      <c r="E11" s="11" t="n">
        <v>35000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5250</v>
      </c>
      <c r="K11" s="12" t="n">
        <v>10500</v>
      </c>
      <c r="L11" s="12" t="n">
        <v>15750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</row>
    <row r="12" ht="22" customHeight="1">
      <c r="C12" s="28" t="inlineStr">
        <is>
          <t>TOTAL EV</t>
        </is>
      </c>
      <c r="E12" s="29">
        <f>SUM(E4:E11)</f>
        <v/>
      </c>
      <c r="F12" s="29">
        <f>SUM(F4:F11)</f>
        <v/>
      </c>
      <c r="G12" s="29">
        <f>SUM(G4:G11)</f>
        <v/>
      </c>
      <c r="H12" s="29">
        <f>SUM(H4:H11)</f>
        <v/>
      </c>
      <c r="I12" s="29">
        <f>SUM(I4:I11)</f>
        <v/>
      </c>
      <c r="J12" s="29">
        <f>SUM(J4:J11)</f>
        <v/>
      </c>
      <c r="K12" s="29">
        <f>SUM(K4:K11)</f>
        <v/>
      </c>
      <c r="L12" s="29">
        <f>SUM(L4:L11)</f>
        <v/>
      </c>
      <c r="M12" s="29">
        <f>SUM(M4:M11)</f>
        <v/>
      </c>
      <c r="N12" s="29">
        <f>SUM(N4:N11)</f>
        <v/>
      </c>
      <c r="O12" s="29">
        <f>SUM(O4:O11)</f>
        <v/>
      </c>
      <c r="P12" s="29">
        <f>SUM(P4:P11)</f>
        <v/>
      </c>
      <c r="Q12" s="29">
        <f>SUM(Q4:Q11)</f>
        <v/>
      </c>
    </row>
    <row r="14">
      <c r="A14" s="30" t="inlineStr">
        <is>
          <t>▼ PARTIE 2 : AC — Actual Cost (Coût Réel) — Saisissez les coûts réels engagés chaque mois</t>
        </is>
      </c>
    </row>
    <row r="15">
      <c r="A15" s="31" t="inlineStr">
        <is>
          <t>#</t>
        </is>
      </c>
      <c r="B15" s="31" t="inlineStr">
        <is>
          <t>Phase</t>
        </is>
      </c>
      <c r="C15" s="31" t="inlineStr">
        <is>
          <t>Work Package</t>
        </is>
      </c>
      <c r="D15" s="31" t="inlineStr">
        <is>
          <t>Resp.</t>
        </is>
      </c>
      <c r="E15" s="31" t="inlineStr">
        <is>
          <t>BAC €</t>
        </is>
      </c>
      <c r="F15" s="31" t="inlineStr">
        <is>
          <t>Jan</t>
        </is>
      </c>
      <c r="G15" s="31" t="inlineStr">
        <is>
          <t>Fév</t>
        </is>
      </c>
      <c r="H15" s="31" t="inlineStr">
        <is>
          <t>Mar</t>
        </is>
      </c>
      <c r="I15" s="31" t="inlineStr">
        <is>
          <t>Avr</t>
        </is>
      </c>
      <c r="J15" s="31" t="inlineStr">
        <is>
          <t>Mai</t>
        </is>
      </c>
      <c r="K15" s="31" t="inlineStr">
        <is>
          <t>Jun</t>
        </is>
      </c>
      <c r="L15" s="31" t="inlineStr">
        <is>
          <t>Jul</t>
        </is>
      </c>
      <c r="M15" s="31" t="inlineStr">
        <is>
          <t>Aoû</t>
        </is>
      </c>
      <c r="N15" s="31" t="inlineStr">
        <is>
          <t>Sep</t>
        </is>
      </c>
      <c r="O15" s="31" t="inlineStr">
        <is>
          <t>Oct</t>
        </is>
      </c>
      <c r="P15" s="31" t="inlineStr">
        <is>
          <t>Nov</t>
        </is>
      </c>
      <c r="Q15" s="31" t="inlineStr">
        <is>
          <t>Déc</t>
        </is>
      </c>
    </row>
    <row r="16" ht="20" customHeight="1">
      <c r="A16" s="32" t="inlineStr">
        <is>
          <t>WP1</t>
        </is>
      </c>
      <c r="B16" s="8" t="inlineStr">
        <is>
          <t>Phase 1 — Init.</t>
        </is>
      </c>
      <c r="C16" s="9" t="inlineStr">
        <is>
          <t>AC — Initialisation &amp; Cadrage</t>
        </is>
      </c>
      <c r="D16" s="33" t="inlineStr">
        <is>
          <t>Chef de Projet</t>
        </is>
      </c>
      <c r="E16" s="11" t="n">
        <v>25000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4500</v>
      </c>
      <c r="K16" s="12" t="n">
        <v>9000</v>
      </c>
      <c r="L16" s="12" t="n">
        <v>13750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</row>
    <row r="17" ht="20" customHeight="1">
      <c r="A17" s="34" t="inlineStr">
        <is>
          <t>WP2</t>
        </is>
      </c>
      <c r="B17" s="35" t="inlineStr">
        <is>
          <t>Phase 1 — Init.</t>
        </is>
      </c>
      <c r="C17" s="36" t="inlineStr">
        <is>
          <t>AC — Planification détaillée</t>
        </is>
      </c>
      <c r="D17" s="37" t="inlineStr">
        <is>
          <t>Chef de Projet</t>
        </is>
      </c>
      <c r="E17" s="11" t="n">
        <v>15000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2700</v>
      </c>
      <c r="K17" s="12" t="n">
        <v>5400</v>
      </c>
      <c r="L17" s="12" t="n">
        <v>8250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</row>
    <row r="18" ht="20" customHeight="1">
      <c r="A18" s="32" t="inlineStr">
        <is>
          <t>WP3</t>
        </is>
      </c>
      <c r="B18" s="8" t="inlineStr">
        <is>
          <t>Phase 2 — Analyse</t>
        </is>
      </c>
      <c r="C18" s="9" t="inlineStr">
        <is>
          <t>AC — Audit infrastructure</t>
        </is>
      </c>
      <c r="D18" s="33" t="inlineStr">
        <is>
          <t>Architecte SI</t>
        </is>
      </c>
      <c r="E18" s="11" t="n">
        <v>30000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5400</v>
      </c>
      <c r="K18" s="12" t="n">
        <v>10800</v>
      </c>
      <c r="L18" s="12" t="n">
        <v>16500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</row>
    <row r="19" ht="20" customHeight="1">
      <c r="A19" s="34" t="inlineStr">
        <is>
          <t>WP4</t>
        </is>
      </c>
      <c r="B19" s="35" t="inlineStr">
        <is>
          <t>Phase 2 — Analyse</t>
        </is>
      </c>
      <c r="C19" s="36" t="inlineStr">
        <is>
          <t>AC — Reverse engineering apps</t>
        </is>
      </c>
      <c r="D19" s="37" t="inlineStr">
        <is>
          <t>Architecte Sol.</t>
        </is>
      </c>
      <c r="E19" s="11" t="n">
        <v>20000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3600</v>
      </c>
      <c r="K19" s="12" t="n">
        <v>7200</v>
      </c>
      <c r="L19" s="12" t="n">
        <v>11000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</row>
    <row r="20" ht="20" customHeight="1">
      <c r="A20" s="32" t="inlineStr">
        <is>
          <t>WP5</t>
        </is>
      </c>
      <c r="B20" s="8" t="inlineStr">
        <is>
          <t>Phase 3 — Conception</t>
        </is>
      </c>
      <c r="C20" s="9" t="inlineStr">
        <is>
          <t>AC — Architecture cible</t>
        </is>
      </c>
      <c r="D20" s="33" t="inlineStr">
        <is>
          <t>Architecte Inf.</t>
        </is>
      </c>
      <c r="E20" s="11" t="n">
        <v>40000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7200</v>
      </c>
      <c r="K20" s="12" t="n">
        <v>14400</v>
      </c>
      <c r="L20" s="12" t="n">
        <v>22000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</row>
    <row r="21" ht="20" customHeight="1">
      <c r="A21" s="34" t="inlineStr">
        <is>
          <t>WP6</t>
        </is>
      </c>
      <c r="B21" s="35" t="inlineStr">
        <is>
          <t>Phase 3 — Conception</t>
        </is>
      </c>
      <c r="C21" s="36" t="inlineStr">
        <is>
          <t>AC — Conception SSO &amp; HA</t>
        </is>
      </c>
      <c r="D21" s="37" t="inlineStr">
        <is>
          <t>Expert Sécurité</t>
        </is>
      </c>
      <c r="E21" s="11" t="n">
        <v>25000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4500</v>
      </c>
      <c r="K21" s="12" t="n">
        <v>9000</v>
      </c>
      <c r="L21" s="12" t="n">
        <v>13750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</row>
    <row r="22" ht="20" customHeight="1">
      <c r="A22" s="32" t="inlineStr">
        <is>
          <t>WP7</t>
        </is>
      </c>
      <c r="B22" s="8" t="inlineStr">
        <is>
          <t>Phase 4 — Déploiement</t>
        </is>
      </c>
      <c r="C22" s="9" t="inlineStr">
        <is>
          <t>AC — Migration production</t>
        </is>
      </c>
      <c r="D22" s="33" t="inlineStr">
        <is>
          <t>Admin Système</t>
        </is>
      </c>
      <c r="E22" s="11" t="n">
        <v>55000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9900</v>
      </c>
      <c r="K22" s="12" t="n">
        <v>19800</v>
      </c>
      <c r="L22" s="12" t="n">
        <v>30250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</row>
    <row r="23" ht="20" customHeight="1">
      <c r="A23" s="34" t="inlineStr">
        <is>
          <t>WP8</t>
        </is>
      </c>
      <c r="B23" s="35" t="inlineStr">
        <is>
          <t>Phase 5 — Recette</t>
        </is>
      </c>
      <c r="C23" s="36" t="inlineStr">
        <is>
          <t>AC — Tests &amp; validation</t>
        </is>
      </c>
      <c r="D23" s="37" t="inlineStr">
        <is>
          <t>Chef de Projet</t>
        </is>
      </c>
      <c r="E23" s="11" t="n">
        <v>35000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6300</v>
      </c>
      <c r="K23" s="12" t="n">
        <v>12600</v>
      </c>
      <c r="L23" s="12" t="n">
        <v>19250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</row>
    <row r="24" ht="22" customHeight="1">
      <c r="C24" s="38" t="inlineStr">
        <is>
          <t>TOTAL AC</t>
        </is>
      </c>
      <c r="E24" s="39">
        <f>SUM(E16:E23)</f>
        <v/>
      </c>
      <c r="F24" s="39">
        <f>SUM(F16:F23)</f>
        <v/>
      </c>
      <c r="G24" s="39">
        <f>SUM(G16:G23)</f>
        <v/>
      </c>
      <c r="H24" s="39">
        <f>SUM(H16:H23)</f>
        <v/>
      </c>
      <c r="I24" s="39">
        <f>SUM(I16:I23)</f>
        <v/>
      </c>
      <c r="J24" s="39">
        <f>SUM(J16:J23)</f>
        <v/>
      </c>
      <c r="K24" s="39">
        <f>SUM(K16:K23)</f>
        <v/>
      </c>
      <c r="L24" s="39">
        <f>SUM(L16:L23)</f>
        <v/>
      </c>
      <c r="M24" s="39">
        <f>SUM(M16:M23)</f>
        <v/>
      </c>
      <c r="N24" s="39">
        <f>SUM(N16:N23)</f>
        <v/>
      </c>
      <c r="O24" s="39">
        <f>SUM(O16:O23)</f>
        <v/>
      </c>
      <c r="P24" s="39">
        <f>SUM(P16:P23)</f>
        <v/>
      </c>
      <c r="Q24" s="39">
        <f>SUM(Q16:Q23)</f>
        <v/>
      </c>
    </row>
  </sheetData>
  <mergeCells count="3">
    <mergeCell ref="A14:Q14"/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3" customWidth="1" min="5" max="5"/>
    <col width="13" customWidth="1" min="6" max="6"/>
    <col width="10" customWidth="1" min="7" max="7"/>
    <col width="10" customWidth="1" min="8" max="8"/>
  </cols>
  <sheetData>
    <row r="1" ht="32" customHeight="1">
      <c r="A1" s="40" t="inlineStr">
        <is>
          <t>TABLEAU DE BORD EVM — EARNED VALUE MANAGEMENT</t>
        </is>
      </c>
    </row>
    <row r="2">
      <c r="A2" s="41" t="inlineStr">
        <is>
          <t>Les indicateurs se calculent automatiquement. Modifiez le mois en B5 pour analyser une période spécifique.</t>
        </is>
      </c>
    </row>
    <row r="5">
      <c r="A5" s="42" t="inlineStr">
        <is>
          <t>📅 Mois de référence (1=Jan … 12=Déc) :</t>
        </is>
      </c>
      <c r="B5" s="43" t="n">
        <v>7</v>
      </c>
      <c r="C5" s="44" t="inlineStr">
        <is>
          <t>← Modifier ce chiffre</t>
        </is>
      </c>
    </row>
    <row r="7" ht="22" customHeight="1">
      <c r="A7" s="45" t="inlineStr">
        <is>
          <t>INDICATEURS PRINCIPAUX</t>
        </is>
      </c>
    </row>
    <row r="8" ht="28" customHeight="1">
      <c r="A8" s="17" t="inlineStr">
        <is>
          <t>BAC</t>
        </is>
      </c>
      <c r="B8" s="17" t="inlineStr">
        <is>
          <t>PV</t>
        </is>
      </c>
      <c r="C8" s="28" t="inlineStr">
        <is>
          <t>EV</t>
        </is>
      </c>
      <c r="D8" s="38" t="inlineStr">
        <is>
          <t>AC</t>
        </is>
      </c>
      <c r="E8" s="46" t="inlineStr">
        <is>
          <t>CV</t>
        </is>
      </c>
      <c r="F8" s="47" t="inlineStr">
        <is>
          <t>SV</t>
        </is>
      </c>
      <c r="G8" s="46" t="inlineStr">
        <is>
          <t>CPI</t>
        </is>
      </c>
      <c r="H8" s="47" t="inlineStr">
        <is>
          <t>SPI</t>
        </is>
      </c>
    </row>
    <row r="9" ht="34" customHeight="1">
      <c r="A9" s="48">
        <f>SUM('📋 Work Packages &amp; PV'!E4:E11)</f>
        <v/>
      </c>
      <c r="B9" s="48">
        <f>INDEX('📋 Work Packages &amp; PV'!F12:Q12,1,$B$5)</f>
        <v/>
      </c>
      <c r="C9" s="49">
        <f>INDEX('📥 EV &amp; AC (Réalisé)'!F12:Q12,1,$B$5)</f>
        <v/>
      </c>
      <c r="D9" s="50">
        <f>INDEX('📥 EV &amp; AC (Réalisé)'!F24:Q24,1,$B$5)</f>
        <v/>
      </c>
      <c r="E9" s="51">
        <f>INDEX('📥 EV &amp; AC (Réalisé)'!F12:Q12,1,$B$5)-INDEX('📥 EV &amp; AC (Réalisé)'!F24:Q24,1,$B$5)</f>
        <v/>
      </c>
      <c r="F9" s="52">
        <f>INDEX('📥 EV &amp; AC (Réalisé)'!F12:Q12,1,$B$5)-INDEX('📋 Work Packages &amp; PV'!F12:Q12,1,$B$5)</f>
        <v/>
      </c>
      <c r="G9" s="53">
        <f>IFERROR((INDEX('📥 EV &amp; AC (Réalisé)'!F12:Q12,1,$B$5))/(INDEX('📥 EV &amp; AC (Réalisé)'!F24:Q24,1,$B$5)),0)</f>
        <v/>
      </c>
      <c r="H9" s="54">
        <f>IFERROR((INDEX('📥 EV &amp; AC (Réalisé)'!F12:Q12,1,$B$5))/(INDEX('📋 Work Packages &amp; PV'!F12:Q12,1,$B$5)),0)</f>
        <v/>
      </c>
    </row>
    <row r="10" ht="18" customHeight="1">
      <c r="A10" s="55" t="inlineStr">
        <is>
          <t>Budget at Completion</t>
        </is>
      </c>
      <c r="B10" s="55" t="inlineStr">
        <is>
          <t>Planned Value</t>
        </is>
      </c>
      <c r="C10" s="55" t="inlineStr">
        <is>
          <t>Earned Value</t>
        </is>
      </c>
      <c r="D10" s="55" t="inlineStr">
        <is>
          <t>Actual Cost</t>
        </is>
      </c>
      <c r="E10" s="55" t="inlineStr">
        <is>
          <t>Cost Variance</t>
        </is>
      </c>
      <c r="F10" s="55" t="inlineStr">
        <is>
          <t>Schedule Variance</t>
        </is>
      </c>
      <c r="G10" s="55" t="inlineStr">
        <is>
          <t>Cost Perf. Index</t>
        </is>
      </c>
      <c r="H10" s="55" t="inlineStr">
        <is>
          <t>Schedule Perf. Index</t>
        </is>
      </c>
    </row>
    <row r="13" ht="22" customHeight="1">
      <c r="A13" s="56" t="inlineStr">
        <is>
          <t>INDICATEURS AVANCÉS &amp; PRÉVISIONS</t>
        </is>
      </c>
    </row>
    <row r="14">
      <c r="A14" s="21" t="inlineStr">
        <is>
          <t>Indicateur</t>
        </is>
      </c>
      <c r="B14" s="21" t="inlineStr">
        <is>
          <t>Formule</t>
        </is>
      </c>
      <c r="C14" s="21" t="inlineStr">
        <is>
          <t>Valeur</t>
        </is>
      </c>
      <c r="D14" s="21" t="inlineStr">
        <is>
          <t>Interprétation</t>
        </is>
      </c>
      <c r="E14" s="21" t="inlineStr">
        <is>
          <t>Statut</t>
        </is>
      </c>
    </row>
    <row r="15" ht="20" customHeight="1">
      <c r="A15" s="15" t="inlineStr">
        <is>
          <t>EAC — Estimate at Completion</t>
        </is>
      </c>
      <c r="B15" s="57" t="inlineStr">
        <is>
          <t>BAC ÷ CPI</t>
        </is>
      </c>
      <c r="C15" s="58">
        <f>IFERROR(A9/G9,0)</f>
        <v/>
      </c>
      <c r="D15" s="14" t="inlineStr">
        <is>
          <t>Coût final estimé si tendance continue</t>
        </is>
      </c>
      <c r="E15" s="59">
        <f>IF(C15&lt;=A9,"✅ Dans le budget","🔴 Dépassement")</f>
        <v/>
      </c>
    </row>
    <row r="16" ht="20" customHeight="1">
      <c r="A16" s="9" t="inlineStr">
        <is>
          <t>ETC — Estimate to Complete</t>
        </is>
      </c>
      <c r="B16" s="60" t="inlineStr">
        <is>
          <t>EAC − AC</t>
        </is>
      </c>
      <c r="C16" s="58">
        <f>IFERROR(A15-D9,0)</f>
        <v/>
      </c>
      <c r="D16" s="8" t="inlineStr">
        <is>
          <t>Montant restant à dépenser</t>
        </is>
      </c>
      <c r="E16" s="61">
        <f>"—"</f>
        <v/>
      </c>
    </row>
    <row r="17" ht="20" customHeight="1">
      <c r="A17" s="15" t="inlineStr">
        <is>
          <t>VAC — Variance at Completion</t>
        </is>
      </c>
      <c r="B17" s="57" t="inlineStr">
        <is>
          <t>BAC − EAC</t>
        </is>
      </c>
      <c r="C17" s="58">
        <f>IFERROR(A9-A15,0)</f>
        <v/>
      </c>
      <c r="D17" s="14" t="inlineStr">
        <is>
          <t>Dépassement (−) ou économie (+) prévue</t>
        </is>
      </c>
      <c r="E17" s="59">
        <f>IF(C17&gt;=0,"💚 Économie","🔴 Dépassement")</f>
        <v/>
      </c>
    </row>
    <row r="18" ht="20" customHeight="1">
      <c r="A18" s="9" t="inlineStr">
        <is>
          <t>TCPI — To Complete Perf. Index</t>
        </is>
      </c>
      <c r="B18" s="60" t="inlineStr">
        <is>
          <t>(BAC−EV)÷(BAC−AC)</t>
        </is>
      </c>
      <c r="C18" s="62">
        <f>IFERROR((A9-C9)/(A9-D9),0)</f>
        <v/>
      </c>
      <c r="D18" s="8" t="inlineStr">
        <is>
          <t>Efficacité requise pour finir dans le budget</t>
        </is>
      </c>
      <c r="E18" s="61">
        <f>IF(C18&lt;=1,"✅ Réaliste","⚠️ Objectif difficile")</f>
        <v/>
      </c>
    </row>
    <row r="19" ht="20" customHeight="1">
      <c r="A19" s="15" t="inlineStr">
        <is>
          <t>% Avancement réel (EV)</t>
        </is>
      </c>
      <c r="B19" s="57" t="inlineStr">
        <is>
          <t>EV ÷ BAC</t>
        </is>
      </c>
      <c r="C19" s="63">
        <f>IFERROR(C9/A9,0)</f>
        <v/>
      </c>
      <c r="D19" s="14" t="inlineStr">
        <is>
          <t>Part du budget correspondant au travail fait</t>
        </is>
      </c>
      <c r="E19" s="59">
        <f>IF(C19&gt;=C20,"✅ En avance","🟡 En retard")</f>
        <v/>
      </c>
    </row>
    <row r="20" ht="20" customHeight="1">
      <c r="A20" s="9" t="inlineStr">
        <is>
          <t>% Avancement prévu (PV)</t>
        </is>
      </c>
      <c r="B20" s="60" t="inlineStr">
        <is>
          <t>PV ÷ BAC</t>
        </is>
      </c>
      <c r="C20" s="63">
        <f>IFERROR(B9/A9,0)</f>
        <v/>
      </c>
      <c r="D20" s="8" t="inlineStr">
        <is>
          <t>Part du budget qui devrait être atteinte</t>
        </is>
      </c>
      <c r="E20" s="61">
        <f>TEXT(C20,"0.0%")&amp;" planifié"</f>
        <v/>
      </c>
    </row>
    <row r="21" ht="20" customHeight="1">
      <c r="A21" s="15" t="inlineStr">
        <is>
          <t>Dépassement budgétaire</t>
        </is>
      </c>
      <c r="B21" s="57" t="inlineStr">
        <is>
          <t>(AC−EV)÷EV</t>
        </is>
      </c>
      <c r="C21" s="63">
        <f>IFERROR((D9-C9)/C9,0)</f>
        <v/>
      </c>
      <c r="D21" s="14" t="inlineStr">
        <is>
          <t>Surcoût relatif par rapport à la valeur acquise</t>
        </is>
      </c>
      <c r="E21" s="59">
        <f>IF(C21&lt;=0,"✅ Sous coût","🔴 Surcoût")</f>
        <v/>
      </c>
    </row>
    <row r="24" ht="22" customHeight="1">
      <c r="A24" s="64" t="inlineStr">
        <is>
          <t>SUIVI MENSUEL — PV / EV / AC / CPI / SPI</t>
        </is>
      </c>
    </row>
    <row r="25">
      <c r="A25" s="65" t="inlineStr">
        <is>
          <t>Mois</t>
        </is>
      </c>
      <c r="B25" s="65" t="inlineStr">
        <is>
          <t>PV Cumulé €</t>
        </is>
      </c>
      <c r="C25" s="65" t="inlineStr">
        <is>
          <t>EV Cumulé €</t>
        </is>
      </c>
      <c r="D25" s="65" t="inlineStr">
        <is>
          <t>AC Cumulé €</t>
        </is>
      </c>
      <c r="E25" s="65" t="inlineStr">
        <is>
          <t>CV €</t>
        </is>
      </c>
      <c r="F25" s="65" t="inlineStr">
        <is>
          <t>SV €</t>
        </is>
      </c>
      <c r="G25" s="65" t="inlineStr">
        <is>
          <t>CPI</t>
        </is>
      </c>
      <c r="H25" s="65" t="inlineStr">
        <is>
          <t>SPI</t>
        </is>
      </c>
    </row>
    <row r="26" ht="18" customHeight="1">
      <c r="A26" s="66" t="inlineStr">
        <is>
          <t>Jan</t>
        </is>
      </c>
      <c r="B26" s="67">
        <f>SUM('📋 Work Packages &amp; PV'!F12:F12)</f>
        <v/>
      </c>
      <c r="C26" s="68">
        <f>SUM('📥 EV &amp; AC (Réalisé)'!F12:F12)</f>
        <v/>
      </c>
      <c r="D26" s="69">
        <f>SUM('📥 EV &amp; AC (Réalisé)'!F24:F24)</f>
        <v/>
      </c>
      <c r="E26" s="70">
        <f>C26-D26</f>
        <v/>
      </c>
      <c r="F26" s="70">
        <f>C26-B26</f>
        <v/>
      </c>
      <c r="G26" s="71">
        <f>IFERROR(C26/D26,0)</f>
        <v/>
      </c>
      <c r="H26" s="71">
        <f>IFERROR(C26/B26,0)</f>
        <v/>
      </c>
    </row>
    <row r="27" ht="18" customHeight="1">
      <c r="A27" s="66" t="inlineStr">
        <is>
          <t>Fév</t>
        </is>
      </c>
      <c r="B27" s="72">
        <f>SUM('📋 Work Packages &amp; PV'!F12:G12)</f>
        <v/>
      </c>
      <c r="C27" s="73">
        <f>SUM('📥 EV &amp; AC (Réalisé)'!F12:G12)</f>
        <v/>
      </c>
      <c r="D27" s="74">
        <f>SUM('📥 EV &amp; AC (Réalisé)'!F24:G24)</f>
        <v/>
      </c>
      <c r="E27" s="75">
        <f>C27-D27</f>
        <v/>
      </c>
      <c r="F27" s="75">
        <f>C27-B27</f>
        <v/>
      </c>
      <c r="G27" s="76">
        <f>IFERROR(C27/D27,0)</f>
        <v/>
      </c>
      <c r="H27" s="76">
        <f>IFERROR(C27/B27,0)</f>
        <v/>
      </c>
    </row>
    <row r="28" ht="18" customHeight="1">
      <c r="A28" s="66" t="inlineStr">
        <is>
          <t>Mar</t>
        </is>
      </c>
      <c r="B28" s="67">
        <f>SUM('📋 Work Packages &amp; PV'!F12:H12)</f>
        <v/>
      </c>
      <c r="C28" s="68">
        <f>SUM('📥 EV &amp; AC (Réalisé)'!F12:H12)</f>
        <v/>
      </c>
      <c r="D28" s="69">
        <f>SUM('📥 EV &amp; AC (Réalisé)'!F24:H24)</f>
        <v/>
      </c>
      <c r="E28" s="70">
        <f>C28-D28</f>
        <v/>
      </c>
      <c r="F28" s="70">
        <f>C28-B28</f>
        <v/>
      </c>
      <c r="G28" s="71">
        <f>IFERROR(C28/D28,0)</f>
        <v/>
      </c>
      <c r="H28" s="71">
        <f>IFERROR(C28/B28,0)</f>
        <v/>
      </c>
    </row>
    <row r="29" ht="18" customHeight="1">
      <c r="A29" s="66" t="inlineStr">
        <is>
          <t>Avr</t>
        </is>
      </c>
      <c r="B29" s="72">
        <f>SUM('📋 Work Packages &amp; PV'!F12:I12)</f>
        <v/>
      </c>
      <c r="C29" s="73">
        <f>SUM('📥 EV &amp; AC (Réalisé)'!F12:I12)</f>
        <v/>
      </c>
      <c r="D29" s="74">
        <f>SUM('📥 EV &amp; AC (Réalisé)'!F24:I24)</f>
        <v/>
      </c>
      <c r="E29" s="75">
        <f>C29-D29</f>
        <v/>
      </c>
      <c r="F29" s="75">
        <f>C29-B29</f>
        <v/>
      </c>
      <c r="G29" s="76">
        <f>IFERROR(C29/D29,0)</f>
        <v/>
      </c>
      <c r="H29" s="76">
        <f>IFERROR(C29/B29,0)</f>
        <v/>
      </c>
    </row>
    <row r="30" ht="18" customHeight="1">
      <c r="A30" s="66" t="inlineStr">
        <is>
          <t>Mai</t>
        </is>
      </c>
      <c r="B30" s="67">
        <f>SUM('📋 Work Packages &amp; PV'!F12:J12)</f>
        <v/>
      </c>
      <c r="C30" s="68">
        <f>SUM('📥 EV &amp; AC (Réalisé)'!F12:J12)</f>
        <v/>
      </c>
      <c r="D30" s="69">
        <f>SUM('📥 EV &amp; AC (Réalisé)'!F24:J24)</f>
        <v/>
      </c>
      <c r="E30" s="70">
        <f>C30-D30</f>
        <v/>
      </c>
      <c r="F30" s="70">
        <f>C30-B30</f>
        <v/>
      </c>
      <c r="G30" s="71">
        <f>IFERROR(C30/D30,0)</f>
        <v/>
      </c>
      <c r="H30" s="71">
        <f>IFERROR(C30/B30,0)</f>
        <v/>
      </c>
    </row>
    <row r="31" ht="18" customHeight="1">
      <c r="A31" s="66" t="inlineStr">
        <is>
          <t>Jun</t>
        </is>
      </c>
      <c r="B31" s="72">
        <f>SUM('📋 Work Packages &amp; PV'!F12:K12)</f>
        <v/>
      </c>
      <c r="C31" s="73">
        <f>SUM('📥 EV &amp; AC (Réalisé)'!F12:K12)</f>
        <v/>
      </c>
      <c r="D31" s="74">
        <f>SUM('📥 EV &amp; AC (Réalisé)'!F24:K24)</f>
        <v/>
      </c>
      <c r="E31" s="75">
        <f>C31-D31</f>
        <v/>
      </c>
      <c r="F31" s="75">
        <f>C31-B31</f>
        <v/>
      </c>
      <c r="G31" s="76">
        <f>IFERROR(C31/D31,0)</f>
        <v/>
      </c>
      <c r="H31" s="76">
        <f>IFERROR(C31/B31,0)</f>
        <v/>
      </c>
    </row>
    <row r="32" ht="18" customHeight="1">
      <c r="A32" s="66" t="inlineStr">
        <is>
          <t>Jul</t>
        </is>
      </c>
      <c r="B32" s="67">
        <f>SUM('📋 Work Packages &amp; PV'!F12:L12)</f>
        <v/>
      </c>
      <c r="C32" s="68">
        <f>SUM('📥 EV &amp; AC (Réalisé)'!F12:L12)</f>
        <v/>
      </c>
      <c r="D32" s="69">
        <f>SUM('📥 EV &amp; AC (Réalisé)'!F24:L24)</f>
        <v/>
      </c>
      <c r="E32" s="70">
        <f>C32-D32</f>
        <v/>
      </c>
      <c r="F32" s="70">
        <f>C32-B32</f>
        <v/>
      </c>
      <c r="G32" s="71">
        <f>IFERROR(C32/D32,0)</f>
        <v/>
      </c>
      <c r="H32" s="71">
        <f>IFERROR(C32/B32,0)</f>
        <v/>
      </c>
    </row>
    <row r="33" ht="18" customHeight="1">
      <c r="A33" s="77" t="inlineStr">
        <is>
          <t>Aoû</t>
        </is>
      </c>
      <c r="B33" s="72">
        <f>SUM('📋 Work Packages &amp; PV'!F12:M12)</f>
        <v/>
      </c>
      <c r="C33" s="73">
        <f>SUM('📥 EV &amp; AC (Réalisé)'!F12:M12)</f>
        <v/>
      </c>
      <c r="D33" s="74">
        <f>SUM('📥 EV &amp; AC (Réalisé)'!F24:M24)</f>
        <v/>
      </c>
      <c r="E33" s="75">
        <f>C33-D33</f>
        <v/>
      </c>
      <c r="F33" s="75">
        <f>C33-B33</f>
        <v/>
      </c>
      <c r="G33" s="76">
        <f>IFERROR(C33/D33,0)</f>
        <v/>
      </c>
      <c r="H33" s="76">
        <f>IFERROR(C33/B33,0)</f>
        <v/>
      </c>
    </row>
    <row r="34" ht="18" customHeight="1">
      <c r="A34" s="78" t="inlineStr">
        <is>
          <t>Sep</t>
        </is>
      </c>
      <c r="B34" s="67">
        <f>SUM('📋 Work Packages &amp; PV'!F12:N12)</f>
        <v/>
      </c>
      <c r="C34" s="68">
        <f>SUM('📥 EV &amp; AC (Réalisé)'!F12:N12)</f>
        <v/>
      </c>
      <c r="D34" s="69">
        <f>SUM('📥 EV &amp; AC (Réalisé)'!F24:N24)</f>
        <v/>
      </c>
      <c r="E34" s="70">
        <f>C34-D34</f>
        <v/>
      </c>
      <c r="F34" s="70">
        <f>C34-B34</f>
        <v/>
      </c>
      <c r="G34" s="71">
        <f>IFERROR(C34/D34,0)</f>
        <v/>
      </c>
      <c r="H34" s="71">
        <f>IFERROR(C34/B34,0)</f>
        <v/>
      </c>
    </row>
    <row r="35" ht="18" customHeight="1">
      <c r="A35" s="77" t="inlineStr">
        <is>
          <t>Oct</t>
        </is>
      </c>
      <c r="B35" s="72">
        <f>SUM('📋 Work Packages &amp; PV'!F12:O12)</f>
        <v/>
      </c>
      <c r="C35" s="73">
        <f>SUM('📥 EV &amp; AC (Réalisé)'!F12:O12)</f>
        <v/>
      </c>
      <c r="D35" s="74">
        <f>SUM('📥 EV &amp; AC (Réalisé)'!F24:O24)</f>
        <v/>
      </c>
      <c r="E35" s="75">
        <f>C35-D35</f>
        <v/>
      </c>
      <c r="F35" s="75">
        <f>C35-B35</f>
        <v/>
      </c>
      <c r="G35" s="76">
        <f>IFERROR(C35/D35,0)</f>
        <v/>
      </c>
      <c r="H35" s="76">
        <f>IFERROR(C35/B35,0)</f>
        <v/>
      </c>
    </row>
    <row r="36" ht="18" customHeight="1">
      <c r="A36" s="78" t="inlineStr">
        <is>
          <t>Nov</t>
        </is>
      </c>
      <c r="B36" s="67">
        <f>SUM('📋 Work Packages &amp; PV'!F12:P12)</f>
        <v/>
      </c>
      <c r="C36" s="68">
        <f>SUM('📥 EV &amp; AC (Réalisé)'!F12:P12)</f>
        <v/>
      </c>
      <c r="D36" s="69">
        <f>SUM('📥 EV &amp; AC (Réalisé)'!F24:P24)</f>
        <v/>
      </c>
      <c r="E36" s="70">
        <f>C36-D36</f>
        <v/>
      </c>
      <c r="F36" s="70">
        <f>C36-B36</f>
        <v/>
      </c>
      <c r="G36" s="71">
        <f>IFERROR(C36/D36,0)</f>
        <v/>
      </c>
      <c r="H36" s="71">
        <f>IFERROR(C36/B36,0)</f>
        <v/>
      </c>
    </row>
    <row r="37" ht="18" customHeight="1">
      <c r="A37" s="77" t="inlineStr">
        <is>
          <t>Déc</t>
        </is>
      </c>
      <c r="B37" s="72">
        <f>SUM('📋 Work Packages &amp; PV'!F12:Q12)</f>
        <v/>
      </c>
      <c r="C37" s="73">
        <f>SUM('📥 EV &amp; AC (Réalisé)'!F12:Q12)</f>
        <v/>
      </c>
      <c r="D37" s="74">
        <f>SUM('📥 EV &amp; AC (Réalisé)'!F24:Q24)</f>
        <v/>
      </c>
      <c r="E37" s="75">
        <f>C37-D37</f>
        <v/>
      </c>
      <c r="F37" s="75">
        <f>C37-B37</f>
        <v/>
      </c>
      <c r="G37" s="76">
        <f>IFERROR(C37/D37,0)</f>
        <v/>
      </c>
      <c r="H37" s="76">
        <f>IFERROR(C37/B37,0)</f>
        <v/>
      </c>
    </row>
  </sheetData>
  <mergeCells count="5">
    <mergeCell ref="A7:H7"/>
    <mergeCell ref="A24:H24"/>
    <mergeCell ref="A2:H2"/>
    <mergeCell ref="A13:H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2" customHeight="1">
      <c r="A1" s="79" t="inlineStr">
        <is>
          <t>COURBES S — PV / EV / AC / EAC (Évolution cumulée sur 12 mois)</t>
        </is>
      </c>
    </row>
    <row r="2">
      <c r="A2" s="65" t="inlineStr">
        <is>
          <t>Mois</t>
        </is>
      </c>
      <c r="B2" s="65" t="inlineStr">
        <is>
          <t>PV Cumulé</t>
        </is>
      </c>
      <c r="C2" s="65" t="inlineStr">
        <is>
          <t>EV Cumulé</t>
        </is>
      </c>
      <c r="D2" s="65" t="inlineStr">
        <is>
          <t>AC Cumulé</t>
        </is>
      </c>
      <c r="E2" s="65" t="inlineStr">
        <is>
          <t>EAC</t>
        </is>
      </c>
    </row>
    <row r="3" ht="18" customHeight="1">
      <c r="A3" s="66" t="inlineStr">
        <is>
          <t>Jan</t>
        </is>
      </c>
      <c r="B3" s="70">
        <f>'📊 Dashboard EVM'!B26</f>
        <v/>
      </c>
      <c r="C3" s="70">
        <f>'📊 Dashboard EVM'!C26</f>
        <v/>
      </c>
      <c r="D3" s="70">
        <f>'📊 Dashboard EVM'!D26</f>
        <v/>
      </c>
      <c r="E3" s="80">
        <f>IFERROR((SUM('📋 Work Packages &amp; PV'!E4:E11))/('📊 Dashboard EVM'!C26/'📊 Dashboard EVM'!D26),0)</f>
        <v/>
      </c>
    </row>
    <row r="4" ht="18" customHeight="1">
      <c r="A4" s="66" t="inlineStr">
        <is>
          <t>Fév</t>
        </is>
      </c>
      <c r="B4" s="75">
        <f>'📊 Dashboard EVM'!B27</f>
        <v/>
      </c>
      <c r="C4" s="75">
        <f>'📊 Dashboard EVM'!C27</f>
        <v/>
      </c>
      <c r="D4" s="75">
        <f>'📊 Dashboard EVM'!D27</f>
        <v/>
      </c>
      <c r="E4" s="80">
        <f>IFERROR((SUM('📋 Work Packages &amp; PV'!E4:E11))/('📊 Dashboard EVM'!C27/'📊 Dashboard EVM'!D27),0)</f>
        <v/>
      </c>
    </row>
    <row r="5" ht="18" customHeight="1">
      <c r="A5" s="66" t="inlineStr">
        <is>
          <t>Mar</t>
        </is>
      </c>
      <c r="B5" s="70">
        <f>'📊 Dashboard EVM'!B28</f>
        <v/>
      </c>
      <c r="C5" s="70">
        <f>'📊 Dashboard EVM'!C28</f>
        <v/>
      </c>
      <c r="D5" s="70">
        <f>'📊 Dashboard EVM'!D28</f>
        <v/>
      </c>
      <c r="E5" s="80">
        <f>IFERROR((SUM('📋 Work Packages &amp; PV'!E4:E11))/('📊 Dashboard EVM'!C28/'📊 Dashboard EVM'!D28),0)</f>
        <v/>
      </c>
    </row>
    <row r="6" ht="18" customHeight="1">
      <c r="A6" s="66" t="inlineStr">
        <is>
          <t>Avr</t>
        </is>
      </c>
      <c r="B6" s="75">
        <f>'📊 Dashboard EVM'!B29</f>
        <v/>
      </c>
      <c r="C6" s="75">
        <f>'📊 Dashboard EVM'!C29</f>
        <v/>
      </c>
      <c r="D6" s="75">
        <f>'📊 Dashboard EVM'!D29</f>
        <v/>
      </c>
      <c r="E6" s="80">
        <f>IFERROR((SUM('📋 Work Packages &amp; PV'!E4:E11))/('📊 Dashboard EVM'!C29/'📊 Dashboard EVM'!D29),0)</f>
        <v/>
      </c>
    </row>
    <row r="7" ht="18" customHeight="1">
      <c r="A7" s="66" t="inlineStr">
        <is>
          <t>Mai</t>
        </is>
      </c>
      <c r="B7" s="70">
        <f>'📊 Dashboard EVM'!B30</f>
        <v/>
      </c>
      <c r="C7" s="70">
        <f>'📊 Dashboard EVM'!C30</f>
        <v/>
      </c>
      <c r="D7" s="70">
        <f>'📊 Dashboard EVM'!D30</f>
        <v/>
      </c>
      <c r="E7" s="80">
        <f>IFERROR((SUM('📋 Work Packages &amp; PV'!E4:E11))/('📊 Dashboard EVM'!C30/'📊 Dashboard EVM'!D30),0)</f>
        <v/>
      </c>
    </row>
    <row r="8" ht="18" customHeight="1">
      <c r="A8" s="66" t="inlineStr">
        <is>
          <t>Jun</t>
        </is>
      </c>
      <c r="B8" s="75">
        <f>'📊 Dashboard EVM'!B31</f>
        <v/>
      </c>
      <c r="C8" s="75">
        <f>'📊 Dashboard EVM'!C31</f>
        <v/>
      </c>
      <c r="D8" s="75">
        <f>'📊 Dashboard EVM'!D31</f>
        <v/>
      </c>
      <c r="E8" s="80">
        <f>IFERROR((SUM('📋 Work Packages &amp; PV'!E4:E11))/('📊 Dashboard EVM'!C31/'📊 Dashboard EVM'!D31),0)</f>
        <v/>
      </c>
    </row>
    <row r="9" ht="18" customHeight="1">
      <c r="A9" s="66" t="inlineStr">
        <is>
          <t>Jul</t>
        </is>
      </c>
      <c r="B9" s="70">
        <f>'📊 Dashboard EVM'!B32</f>
        <v/>
      </c>
      <c r="C9" s="70">
        <f>'📊 Dashboard EVM'!C32</f>
        <v/>
      </c>
      <c r="D9" s="70">
        <f>'📊 Dashboard EVM'!D32</f>
        <v/>
      </c>
      <c r="E9" s="80">
        <f>IFERROR((SUM('📋 Work Packages &amp; PV'!E4:E11))/('📊 Dashboard EVM'!C32/'📊 Dashboard EVM'!D32),0)</f>
        <v/>
      </c>
    </row>
    <row r="10" ht="18" customHeight="1">
      <c r="A10" s="77" t="inlineStr">
        <is>
          <t>Aoû</t>
        </is>
      </c>
      <c r="B10" s="75">
        <f>'📊 Dashboard EVM'!B33</f>
        <v/>
      </c>
      <c r="C10" s="75">
        <f>'📊 Dashboard EVM'!C33</f>
        <v/>
      </c>
      <c r="D10" s="75">
        <f>'📊 Dashboard EVM'!D33</f>
        <v/>
      </c>
      <c r="E10" s="81">
        <f>IFERROR((SUM('📋 Work Packages &amp; PV'!E4:E11))/('📊 Dashboard EVM'!C33/'📊 Dashboard EVM'!D33),0)</f>
        <v/>
      </c>
    </row>
    <row r="11" ht="18" customHeight="1">
      <c r="A11" s="77" t="inlineStr">
        <is>
          <t>Sep</t>
        </is>
      </c>
      <c r="B11" s="70">
        <f>'📊 Dashboard EVM'!B34</f>
        <v/>
      </c>
      <c r="C11" s="70">
        <f>'📊 Dashboard EVM'!C34</f>
        <v/>
      </c>
      <c r="D11" s="70">
        <f>'📊 Dashboard EVM'!D34</f>
        <v/>
      </c>
      <c r="E11" s="81">
        <f>IFERROR((SUM('📋 Work Packages &amp; PV'!E4:E11))/('📊 Dashboard EVM'!C34/'📊 Dashboard EVM'!D34),0)</f>
        <v/>
      </c>
    </row>
    <row r="12" ht="18" customHeight="1">
      <c r="A12" s="77" t="inlineStr">
        <is>
          <t>Oct</t>
        </is>
      </c>
      <c r="B12" s="75">
        <f>'📊 Dashboard EVM'!B35</f>
        <v/>
      </c>
      <c r="C12" s="75">
        <f>'📊 Dashboard EVM'!C35</f>
        <v/>
      </c>
      <c r="D12" s="75">
        <f>'📊 Dashboard EVM'!D35</f>
        <v/>
      </c>
      <c r="E12" s="81">
        <f>IFERROR((SUM('📋 Work Packages &amp; PV'!E4:E11))/('📊 Dashboard EVM'!C35/'📊 Dashboard EVM'!D35),0)</f>
        <v/>
      </c>
    </row>
    <row r="13" ht="18" customHeight="1">
      <c r="A13" s="77" t="inlineStr">
        <is>
          <t>Nov</t>
        </is>
      </c>
      <c r="B13" s="70">
        <f>'📊 Dashboard EVM'!B36</f>
        <v/>
      </c>
      <c r="C13" s="70">
        <f>'📊 Dashboard EVM'!C36</f>
        <v/>
      </c>
      <c r="D13" s="70">
        <f>'📊 Dashboard EVM'!D36</f>
        <v/>
      </c>
      <c r="E13" s="81">
        <f>IFERROR((SUM('📋 Work Packages &amp; PV'!E4:E11))/('📊 Dashboard EVM'!C36/'📊 Dashboard EVM'!D36),0)</f>
        <v/>
      </c>
    </row>
    <row r="14" ht="18" customHeight="1">
      <c r="A14" s="77" t="inlineStr">
        <is>
          <t>Déc</t>
        </is>
      </c>
      <c r="B14" s="75">
        <f>'📊 Dashboard EVM'!B37</f>
        <v/>
      </c>
      <c r="C14" s="75">
        <f>'📊 Dashboard EVM'!C37</f>
        <v/>
      </c>
      <c r="D14" s="75">
        <f>'📊 Dashboard EVM'!D37</f>
        <v/>
      </c>
      <c r="E14" s="81">
        <f>IFERROR((SUM('📋 Work Packages &amp; PV'!E4:E11))/('📊 Dashboard EVM'!C37/'📊 Dashboard EVM'!D37),0)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5" customHeight="1">
      <c r="A1" s="40" t="inlineStr">
        <is>
          <t>GUIDE D'UTILISATION &amp; DÉFINITIONS — PMO AI Studio</t>
        </is>
      </c>
    </row>
    <row r="3" ht="22" customHeight="1">
      <c r="A3" s="82" t="inlineStr">
        <is>
          <t>DÉFINITIONS EVM — Earned Value Management</t>
        </is>
      </c>
    </row>
    <row r="4" ht="18" customHeight="1">
      <c r="A4" s="15" t="inlineStr">
        <is>
          <t>EVM</t>
        </is>
      </c>
      <c r="B4" s="14" t="inlineStr">
        <is>
          <t>Méthode d'analyse de performance projet intégrant scope, coût et délai en une seule mesure objective.</t>
        </is>
      </c>
    </row>
    <row r="5" ht="18" customHeight="1">
      <c r="A5" s="9" t="inlineStr">
        <is>
          <t>BAC — Budget at Completion</t>
        </is>
      </c>
      <c r="B5" s="8" t="inlineStr">
        <is>
          <t>Budget total approuvé pour l'ensemble du projet. C'est votre référence budgétaire.</t>
        </is>
      </c>
    </row>
    <row r="6" ht="18" customHeight="1">
      <c r="A6" s="15" t="inlineStr">
        <is>
          <t>PV — Planned Value (Valeur Planifiée)</t>
        </is>
      </c>
      <c r="B6" s="14" t="inlineStr">
        <is>
          <t>Montant du travail qui DEVRAIT être réalisé à une date donnée selon le planning.</t>
        </is>
      </c>
    </row>
    <row r="7" ht="18" customHeight="1">
      <c r="A7" s="9" t="inlineStr">
        <is>
          <t>EV — Earned Value (Valeur Acquise)</t>
        </is>
      </c>
      <c r="B7" s="8" t="inlineStr">
        <is>
          <t>Valeur monétaire du travail RÉELLEMENT accompli. EV = % avancement × BAC du WP.</t>
        </is>
      </c>
    </row>
    <row r="8" ht="18" customHeight="1">
      <c r="A8" s="15" t="inlineStr">
        <is>
          <t>AC — Actual Cost (Coût Réel)</t>
        </is>
      </c>
      <c r="B8" s="14" t="inlineStr">
        <is>
          <t>Montant réellement DÉPENSÉ pour accomplir le travail à ce jour.</t>
        </is>
      </c>
    </row>
    <row r="9" ht="18" customHeight="1">
      <c r="A9" s="9" t="inlineStr">
        <is>
          <t>CV — Cost Variance</t>
        </is>
      </c>
      <c r="B9" s="8" t="inlineStr">
        <is>
          <t>Variance de coût = EV − AC. Positif = économie. Négatif = dépassement.</t>
        </is>
      </c>
    </row>
    <row r="10" ht="18" customHeight="1">
      <c r="A10" s="15" t="inlineStr">
        <is>
          <t>SV — Schedule Variance</t>
        </is>
      </c>
      <c r="B10" s="14" t="inlineStr">
        <is>
          <t>Variance de délai = EV − PV. Positif = en avance. Négatif = en retard.</t>
        </is>
      </c>
    </row>
    <row r="11" ht="18" customHeight="1">
      <c r="A11" s="9" t="inlineStr">
        <is>
          <t>CPI — Cost Performance Index</t>
        </is>
      </c>
      <c r="B11" s="8" t="inlineStr">
        <is>
          <t>Efficacité coût = EV ÷ AC. &gt;1 = efficace (sous budget). &lt;1 = dépassement.</t>
        </is>
      </c>
    </row>
    <row r="12" ht="18" customHeight="1">
      <c r="A12" s="15" t="inlineStr">
        <is>
          <t>SPI — Schedule Performance Index</t>
        </is>
      </c>
      <c r="B12" s="14" t="inlineStr">
        <is>
          <t>Efficacité planning = EV ÷ PV. &gt;1 = en avance. &lt;1 = en retard.</t>
        </is>
      </c>
    </row>
    <row r="13" ht="18" customHeight="1">
      <c r="A13" s="9" t="inlineStr">
        <is>
          <t>EAC — Estimate at Completion</t>
        </is>
      </c>
      <c r="B13" s="8" t="inlineStr">
        <is>
          <t>Prévision du coût total final = BAC ÷ CPI. Si CPI=0.85 → EAC = BAC ÷ 0.85.</t>
        </is>
      </c>
    </row>
    <row r="14" ht="18" customHeight="1">
      <c r="A14" s="15" t="inlineStr">
        <is>
          <t>ETC — Estimate to Complete</t>
        </is>
      </c>
      <c r="B14" s="14" t="inlineStr">
        <is>
          <t>Coût restant pour terminer = EAC − AC.</t>
        </is>
      </c>
    </row>
    <row r="15" ht="18" customHeight="1">
      <c r="A15" s="9" t="inlineStr">
        <is>
          <t>VAC — Variance at Completion</t>
        </is>
      </c>
      <c r="B15" s="8" t="inlineStr">
        <is>
          <t>Écart final = BAC − EAC. Négatif = dépassement prévu. Positif = économie prévue.</t>
        </is>
      </c>
    </row>
    <row r="16" ht="18" customHeight="1">
      <c r="A16" s="15" t="inlineStr">
        <is>
          <t>TCPI — To Complete Performance Index</t>
        </is>
      </c>
      <c r="B16" s="14" t="inlineStr">
        <is>
          <t>Efficacité requise sur le reste = (BAC−EV) ÷ (BAC−AC). &gt;1 = doit mieux faire.</t>
        </is>
      </c>
    </row>
    <row r="18" ht="22" customHeight="1">
      <c r="A18" s="82" t="inlineStr">
        <is>
          <t>GUIDE D'UTILISATION — ÉTAPES</t>
        </is>
      </c>
    </row>
    <row r="19" ht="18" customHeight="1">
      <c r="A19" s="9" t="inlineStr">
        <is>
          <t>Étape 1 — Paramètres</t>
        </is>
      </c>
      <c r="B19" s="8" t="inlineStr">
        <is>
          <t>Renseignez l'onglet ⚙️ Paramètres avec le nom du projet, CP, dates.</t>
        </is>
      </c>
    </row>
    <row r="20" ht="18" customHeight="1">
      <c r="A20" s="15" t="inlineStr">
        <is>
          <t>Étape 2 — Work Packages</t>
        </is>
      </c>
      <c r="B20" s="14" t="inlineStr">
        <is>
          <t>Dans 📋 Work Packages &amp; PV : entrez le BAC de chaque WP et la distribution mensuelle prévue (PV).</t>
        </is>
      </c>
    </row>
    <row r="21" ht="18" customHeight="1">
      <c r="A21" s="9" t="inlineStr">
        <is>
          <t>Étape 3 — EV mensuel</t>
        </is>
      </c>
      <c r="B21" s="8" t="inlineStr">
        <is>
          <t>Dans 📥 EV &amp; AC : chaque mois, entrez la valeur cumulée acquise (EV) pour chaque WP.</t>
        </is>
      </c>
    </row>
    <row r="22" ht="18" customHeight="1">
      <c r="A22" s="15" t="inlineStr">
        <is>
          <t>Étape 4 — AC mensuel</t>
        </is>
      </c>
      <c r="B22" s="14" t="inlineStr">
        <is>
          <t>Dans le même onglet, entrez les coûts réels cumulés (AC) pour chaque WP.</t>
        </is>
      </c>
    </row>
    <row r="23" ht="18" customHeight="1">
      <c r="A23" s="9" t="inlineStr">
        <is>
          <t>Étape 5 — Dashboard</t>
        </is>
      </c>
      <c r="B23" s="8" t="inlineStr">
        <is>
          <t>Dans 📊 Dashboard EVM : changez le mois en B5 pour analyser la période souhaitée.</t>
        </is>
      </c>
    </row>
    <row r="24" ht="18" customHeight="1">
      <c r="A24" s="15" t="inlineStr">
        <is>
          <t>Étape 6 — Courbe S</t>
        </is>
      </c>
      <c r="B24" s="14" t="inlineStr">
        <is>
          <t>L'onglet 📈 Courbe S se met à jour automatiquement avec le graphique.</t>
        </is>
      </c>
    </row>
    <row r="25" ht="18" customHeight="1">
      <c r="A25" s="9" t="inlineStr">
        <is>
          <t>Interprétation CPI</t>
        </is>
      </c>
      <c r="B25" s="8" t="inlineStr">
        <is>
          <t>CPI = 0.85 → pour chaque euro dépensé, seulement 0.85€ de valeur est produite.</t>
        </is>
      </c>
    </row>
    <row r="26" ht="18" customHeight="1">
      <c r="A26" s="15" t="inlineStr">
        <is>
          <t>Interprétation TCPI</t>
        </is>
      </c>
      <c r="B26" s="14" t="inlineStr">
        <is>
          <t>TCPI &gt; 1.2 → très difficile de terminer dans le budget. Envisager une rebaseline.</t>
        </is>
      </c>
    </row>
    <row r="28" ht="20" customHeight="1">
      <c r="A28" s="83" t="inlineStr">
        <is>
          <t>💡 Cellules BLEUES = à saisir  |  Cellules NOIRES = formules automatiques  |  Ne pas modifier les formules</t>
        </is>
      </c>
    </row>
  </sheetData>
  <mergeCells count="4">
    <mergeCell ref="A18:B18"/>
    <mergeCell ref="A3:B3"/>
    <mergeCell ref="A1:B1"/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2026-05-13T19:20:05Z</dcterms:created>
  <dcterms:modified xmlns:dcterms="http://purl.org/dc/terms/" xmlns:xsi="http://www.w3.org/2001/XMLSchema-instance" xsi:type="dcterms:W3CDTF">2026-05-13T19:20:05Z</dcterms:modified>
</cp:coreProperties>
</file>